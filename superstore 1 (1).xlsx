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11670" windowHeight="6705" activeTab="1"/>
  </bookViews>
  <sheets>
    <sheet name="Raw" sheetId="1" r:id="rId1"/>
    <sheet name="Clean" sheetId="3" r:id="rId2"/>
    <sheet name="lookup" sheetId="4" r:id="rId3"/>
    <sheet name="Pivot" sheetId="5" r:id="rId4"/>
    <sheet name="Assumptions" sheetId="6" r:id="rId5"/>
    <sheet name="Insights" sheetId="7" r:id="rId6"/>
    <sheet name="RFM" sheetId="8" r:id="rId7"/>
  </sheets>
  <calcPr calcId="152511"/>
  <pivotCaches>
    <pivotCache cacheId="2" r:id="rId8"/>
    <pivotCache cacheId="3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3" l="1"/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S2" i="3"/>
  <c r="U2" i="3"/>
  <c r="V2" i="3"/>
  <c r="W2" i="3"/>
  <c r="X2" i="3"/>
  <c r="Y2" i="3"/>
  <c r="Z2" i="3"/>
  <c r="AA2" i="3"/>
  <c r="S3" i="3"/>
  <c r="U3" i="3"/>
  <c r="V3" i="3"/>
  <c r="W3" i="3"/>
  <c r="X3" i="3"/>
  <c r="Y3" i="3"/>
  <c r="Z3" i="3"/>
  <c r="AA3" i="3"/>
  <c r="S4" i="3"/>
  <c r="U4" i="3"/>
  <c r="V4" i="3"/>
  <c r="W4" i="3"/>
  <c r="X4" i="3"/>
  <c r="Y4" i="3"/>
  <c r="Z4" i="3"/>
  <c r="AA4" i="3"/>
  <c r="S5" i="3"/>
  <c r="U5" i="3"/>
  <c r="V5" i="3"/>
  <c r="W5" i="3"/>
  <c r="X5" i="3"/>
  <c r="Y5" i="3"/>
  <c r="Z5" i="3"/>
  <c r="AA5" i="3"/>
  <c r="S6" i="3"/>
  <c r="U6" i="3"/>
  <c r="V6" i="3"/>
  <c r="W6" i="3"/>
  <c r="X6" i="3"/>
  <c r="Y6" i="3"/>
  <c r="Z6" i="3"/>
  <c r="AA6" i="3"/>
  <c r="S7" i="3"/>
  <c r="U7" i="3"/>
  <c r="V7" i="3"/>
  <c r="W7" i="3"/>
  <c r="X7" i="3"/>
  <c r="Y7" i="3"/>
  <c r="Z7" i="3"/>
  <c r="AA7" i="3"/>
  <c r="S8" i="3"/>
  <c r="U8" i="3"/>
  <c r="V8" i="3"/>
  <c r="W8" i="3"/>
  <c r="X8" i="3"/>
  <c r="Y8" i="3"/>
  <c r="Z8" i="3"/>
  <c r="AA8" i="3"/>
  <c r="S9" i="3"/>
  <c r="U9" i="3"/>
  <c r="V9" i="3"/>
  <c r="W9" i="3"/>
  <c r="X9" i="3"/>
  <c r="Y9" i="3"/>
  <c r="Z9" i="3"/>
  <c r="AA9" i="3"/>
  <c r="S10" i="3"/>
  <c r="U10" i="3"/>
  <c r="V10" i="3"/>
  <c r="W10" i="3"/>
  <c r="X10" i="3"/>
  <c r="Y10" i="3"/>
  <c r="Z10" i="3"/>
  <c r="AA10" i="3"/>
  <c r="S11" i="3"/>
  <c r="U11" i="3"/>
  <c r="V11" i="3"/>
  <c r="W11" i="3"/>
  <c r="X11" i="3"/>
  <c r="Y11" i="3"/>
  <c r="Z11" i="3"/>
  <c r="AA11" i="3"/>
  <c r="S12" i="3"/>
  <c r="U12" i="3"/>
  <c r="V12" i="3"/>
  <c r="W12" i="3"/>
  <c r="X12" i="3"/>
  <c r="Y12" i="3"/>
  <c r="Z12" i="3"/>
  <c r="AA12" i="3"/>
  <c r="S13" i="3"/>
  <c r="U13" i="3"/>
  <c r="V13" i="3"/>
  <c r="W13" i="3"/>
  <c r="X13" i="3"/>
  <c r="Y13" i="3"/>
  <c r="Z13" i="3"/>
  <c r="AA13" i="3"/>
  <c r="S14" i="3"/>
  <c r="U14" i="3"/>
  <c r="V14" i="3"/>
  <c r="W14" i="3"/>
  <c r="X14" i="3"/>
  <c r="Y14" i="3"/>
  <c r="Z14" i="3"/>
  <c r="AA14" i="3"/>
  <c r="S15" i="3"/>
  <c r="U15" i="3"/>
  <c r="V15" i="3"/>
  <c r="W15" i="3"/>
  <c r="X15" i="3"/>
  <c r="Y15" i="3"/>
  <c r="Z15" i="3"/>
  <c r="AA15" i="3"/>
  <c r="S16" i="3"/>
  <c r="U16" i="3"/>
  <c r="V16" i="3"/>
  <c r="W16" i="3"/>
  <c r="X16" i="3"/>
  <c r="Y16" i="3"/>
  <c r="Z16" i="3"/>
  <c r="AA16" i="3"/>
  <c r="S17" i="3"/>
  <c r="U17" i="3"/>
  <c r="V17" i="3"/>
  <c r="W17" i="3"/>
  <c r="X17" i="3"/>
  <c r="Y17" i="3"/>
  <c r="Z17" i="3"/>
  <c r="AA17" i="3"/>
  <c r="S18" i="3"/>
  <c r="U18" i="3"/>
  <c r="V18" i="3"/>
  <c r="W18" i="3"/>
  <c r="X18" i="3"/>
  <c r="Y18" i="3"/>
  <c r="Z18" i="3"/>
  <c r="AA18" i="3"/>
  <c r="S19" i="3"/>
  <c r="U19" i="3"/>
  <c r="V19" i="3"/>
  <c r="W19" i="3"/>
  <c r="X19" i="3"/>
  <c r="Y19" i="3"/>
  <c r="Z19" i="3"/>
  <c r="AA19" i="3"/>
  <c r="S20" i="3"/>
  <c r="U20" i="3"/>
  <c r="V20" i="3"/>
  <c r="W20" i="3"/>
  <c r="X20" i="3"/>
  <c r="Y20" i="3"/>
  <c r="Z20" i="3"/>
  <c r="AA20" i="3"/>
  <c r="S21" i="3"/>
  <c r="U21" i="3"/>
  <c r="V21" i="3"/>
  <c r="W21" i="3"/>
  <c r="X21" i="3"/>
  <c r="Y21" i="3"/>
  <c r="Z21" i="3"/>
  <c r="AA21" i="3"/>
  <c r="S22" i="3"/>
  <c r="U22" i="3"/>
  <c r="V22" i="3"/>
  <c r="W22" i="3"/>
  <c r="X22" i="3"/>
  <c r="Y22" i="3"/>
  <c r="Z22" i="3"/>
  <c r="AA22" i="3"/>
  <c r="S23" i="3"/>
  <c r="U23" i="3"/>
  <c r="V23" i="3"/>
  <c r="W23" i="3"/>
  <c r="X23" i="3"/>
  <c r="Y23" i="3"/>
  <c r="Z23" i="3"/>
  <c r="AA23" i="3"/>
  <c r="S24" i="3"/>
  <c r="U24" i="3"/>
  <c r="V24" i="3"/>
  <c r="W24" i="3"/>
  <c r="X24" i="3"/>
  <c r="Y24" i="3"/>
  <c r="Z24" i="3"/>
  <c r="AA24" i="3"/>
  <c r="S25" i="3"/>
  <c r="U25" i="3"/>
  <c r="V25" i="3"/>
  <c r="W25" i="3"/>
  <c r="X25" i="3"/>
  <c r="Y25" i="3"/>
  <c r="Z25" i="3"/>
  <c r="AA25" i="3"/>
  <c r="S26" i="3"/>
  <c r="U26" i="3"/>
  <c r="V26" i="3"/>
  <c r="W26" i="3"/>
  <c r="X26" i="3"/>
  <c r="Y26" i="3"/>
  <c r="Z26" i="3"/>
  <c r="AA26" i="3"/>
  <c r="S27" i="3"/>
  <c r="U27" i="3"/>
  <c r="V27" i="3"/>
  <c r="W27" i="3"/>
  <c r="X27" i="3"/>
  <c r="Y27" i="3"/>
  <c r="Z27" i="3"/>
  <c r="AA27" i="3"/>
  <c r="S28" i="3"/>
  <c r="U28" i="3"/>
  <c r="V28" i="3"/>
  <c r="W28" i="3"/>
  <c r="X28" i="3"/>
  <c r="Y28" i="3"/>
  <c r="Z28" i="3"/>
  <c r="AA28" i="3"/>
  <c r="S29" i="3"/>
  <c r="U29" i="3"/>
  <c r="V29" i="3"/>
  <c r="W29" i="3"/>
  <c r="X29" i="3"/>
  <c r="Y29" i="3"/>
  <c r="Z29" i="3"/>
  <c r="AA29" i="3"/>
  <c r="S30" i="3"/>
  <c r="U30" i="3"/>
  <c r="V30" i="3"/>
  <c r="W30" i="3"/>
  <c r="X30" i="3"/>
  <c r="Y30" i="3"/>
  <c r="Z30" i="3"/>
  <c r="AA30" i="3"/>
  <c r="S31" i="3"/>
  <c r="U31" i="3"/>
  <c r="V31" i="3"/>
  <c r="W31" i="3"/>
  <c r="X31" i="3"/>
  <c r="Y31" i="3"/>
  <c r="Z31" i="3"/>
  <c r="AA31" i="3"/>
  <c r="S32" i="3"/>
  <c r="U32" i="3"/>
  <c r="V32" i="3"/>
  <c r="W32" i="3"/>
  <c r="X32" i="3"/>
  <c r="Y32" i="3"/>
  <c r="Z32" i="3"/>
  <c r="AA32" i="3"/>
  <c r="S33" i="3"/>
  <c r="U33" i="3"/>
  <c r="V33" i="3"/>
  <c r="W33" i="3"/>
  <c r="X33" i="3"/>
  <c r="Y33" i="3"/>
  <c r="Z33" i="3"/>
  <c r="AA33" i="3"/>
  <c r="S34" i="3"/>
  <c r="U34" i="3"/>
  <c r="V34" i="3"/>
  <c r="W34" i="3"/>
  <c r="X34" i="3"/>
  <c r="Y34" i="3"/>
  <c r="Z34" i="3"/>
  <c r="AA34" i="3"/>
  <c r="S35" i="3"/>
  <c r="U35" i="3"/>
  <c r="V35" i="3"/>
  <c r="W35" i="3"/>
  <c r="X35" i="3"/>
  <c r="Y35" i="3"/>
  <c r="Z35" i="3"/>
  <c r="AA35" i="3"/>
  <c r="S36" i="3"/>
  <c r="U36" i="3"/>
  <c r="V36" i="3"/>
  <c r="W36" i="3"/>
  <c r="X36" i="3"/>
  <c r="Y36" i="3"/>
  <c r="Z36" i="3"/>
  <c r="AA36" i="3"/>
  <c r="S37" i="3"/>
  <c r="U37" i="3"/>
  <c r="V37" i="3"/>
  <c r="W37" i="3"/>
  <c r="X37" i="3"/>
  <c r="Y37" i="3"/>
  <c r="Z37" i="3"/>
  <c r="AA37" i="3"/>
  <c r="S38" i="3"/>
  <c r="U38" i="3"/>
  <c r="V38" i="3"/>
  <c r="W38" i="3"/>
  <c r="X38" i="3"/>
  <c r="Y38" i="3"/>
  <c r="Z38" i="3"/>
  <c r="AA38" i="3"/>
  <c r="S39" i="3"/>
  <c r="U39" i="3"/>
  <c r="V39" i="3"/>
  <c r="W39" i="3"/>
  <c r="X39" i="3"/>
  <c r="Y39" i="3"/>
  <c r="Z39" i="3"/>
  <c r="AA39" i="3"/>
  <c r="S40" i="3"/>
  <c r="U40" i="3"/>
  <c r="V40" i="3"/>
  <c r="W40" i="3"/>
  <c r="X40" i="3"/>
  <c r="Y40" i="3"/>
  <c r="Z40" i="3"/>
  <c r="AA40" i="3"/>
  <c r="S41" i="3"/>
  <c r="U41" i="3"/>
  <c r="V41" i="3"/>
  <c r="W41" i="3"/>
  <c r="X41" i="3"/>
  <c r="Y41" i="3"/>
  <c r="Z41" i="3"/>
  <c r="AA41" i="3"/>
  <c r="S42" i="3"/>
  <c r="U42" i="3"/>
  <c r="V42" i="3"/>
  <c r="W42" i="3"/>
  <c r="X42" i="3"/>
  <c r="Y42" i="3"/>
  <c r="Z42" i="3"/>
  <c r="AA42" i="3"/>
  <c r="S43" i="3"/>
  <c r="U43" i="3"/>
  <c r="V43" i="3"/>
  <c r="W43" i="3"/>
  <c r="X43" i="3"/>
  <c r="Y43" i="3"/>
  <c r="Z43" i="3"/>
  <c r="AA43" i="3"/>
  <c r="S44" i="3"/>
  <c r="U44" i="3"/>
  <c r="V44" i="3"/>
  <c r="W44" i="3"/>
  <c r="X44" i="3"/>
  <c r="Y44" i="3"/>
  <c r="Z44" i="3"/>
  <c r="AA44" i="3"/>
  <c r="S45" i="3"/>
  <c r="U45" i="3"/>
  <c r="V45" i="3"/>
  <c r="W45" i="3"/>
  <c r="X45" i="3"/>
  <c r="Y45" i="3"/>
  <c r="Z45" i="3"/>
  <c r="AA45" i="3"/>
  <c r="S46" i="3"/>
  <c r="U46" i="3"/>
  <c r="V46" i="3"/>
  <c r="W46" i="3"/>
  <c r="X46" i="3"/>
  <c r="Y46" i="3"/>
  <c r="Z46" i="3"/>
  <c r="AA46" i="3"/>
  <c r="S47" i="3"/>
  <c r="U47" i="3"/>
  <c r="V47" i="3"/>
  <c r="W47" i="3"/>
  <c r="X47" i="3"/>
  <c r="Y47" i="3"/>
  <c r="Z47" i="3"/>
  <c r="AA47" i="3"/>
  <c r="S48" i="3"/>
  <c r="U48" i="3"/>
  <c r="V48" i="3"/>
  <c r="W48" i="3"/>
  <c r="X48" i="3"/>
  <c r="Y48" i="3"/>
  <c r="Z48" i="3"/>
  <c r="AA48" i="3"/>
  <c r="S49" i="3"/>
  <c r="U49" i="3"/>
  <c r="V49" i="3"/>
  <c r="W49" i="3"/>
  <c r="X49" i="3"/>
  <c r="Y49" i="3"/>
  <c r="Z49" i="3"/>
  <c r="AA49" i="3"/>
  <c r="S50" i="3"/>
  <c r="U50" i="3"/>
  <c r="V50" i="3"/>
  <c r="W50" i="3"/>
  <c r="X50" i="3"/>
  <c r="Y50" i="3"/>
  <c r="Z50" i="3"/>
  <c r="AA50" i="3"/>
  <c r="S51" i="3"/>
  <c r="U51" i="3"/>
  <c r="V51" i="3"/>
  <c r="W51" i="3"/>
  <c r="X51" i="3"/>
  <c r="Y51" i="3"/>
  <c r="Z51" i="3"/>
  <c r="AA51" i="3"/>
  <c r="U52" i="3"/>
  <c r="V52" i="3"/>
  <c r="U53" i="3"/>
  <c r="V53" i="3"/>
  <c r="U54" i="3"/>
  <c r="V54" i="3"/>
  <c r="U55" i="3"/>
  <c r="V55" i="3"/>
  <c r="U56" i="3"/>
  <c r="V56" i="3"/>
  <c r="U57" i="3"/>
  <c r="V57" i="3"/>
  <c r="U58" i="3"/>
  <c r="V58" i="3"/>
  <c r="U59" i="3"/>
  <c r="V59" i="3"/>
  <c r="U60" i="3"/>
  <c r="V60" i="3"/>
  <c r="U61" i="3"/>
  <c r="V61" i="3"/>
  <c r="U62" i="3"/>
  <c r="V62" i="3"/>
  <c r="U63" i="3"/>
  <c r="V63" i="3"/>
  <c r="U64" i="3"/>
  <c r="V64" i="3"/>
  <c r="U65" i="3"/>
  <c r="V65" i="3"/>
  <c r="U66" i="3"/>
  <c r="V66" i="3"/>
  <c r="U67" i="3"/>
  <c r="V67" i="3"/>
  <c r="U68" i="3"/>
  <c r="V68" i="3"/>
  <c r="U69" i="3"/>
  <c r="V69" i="3"/>
  <c r="U70" i="3"/>
  <c r="V70" i="3"/>
  <c r="U71" i="3"/>
  <c r="V71" i="3"/>
  <c r="U72" i="3"/>
  <c r="V72" i="3"/>
  <c r="U73" i="3"/>
  <c r="V73" i="3"/>
  <c r="U74" i="3"/>
  <c r="V74" i="3"/>
  <c r="U75" i="3"/>
  <c r="V75" i="3"/>
  <c r="U76" i="3"/>
  <c r="V76" i="3"/>
  <c r="U77" i="3"/>
  <c r="V77" i="3"/>
  <c r="U78" i="3"/>
  <c r="V78" i="3"/>
  <c r="U79" i="3"/>
  <c r="V79" i="3"/>
  <c r="U80" i="3"/>
  <c r="V80" i="3"/>
  <c r="U81" i="3"/>
  <c r="V81" i="3"/>
  <c r="U82" i="3"/>
  <c r="V82" i="3"/>
  <c r="U83" i="3"/>
  <c r="V83" i="3"/>
  <c r="U84" i="3"/>
  <c r="V84" i="3"/>
  <c r="U85" i="3"/>
  <c r="V85" i="3"/>
  <c r="U86" i="3"/>
  <c r="V86" i="3"/>
  <c r="U87" i="3"/>
  <c r="V87" i="3"/>
  <c r="U88" i="3"/>
  <c r="V88" i="3"/>
  <c r="U89" i="3"/>
  <c r="V89" i="3"/>
  <c r="U90" i="3"/>
  <c r="V90" i="3"/>
  <c r="U91" i="3"/>
  <c r="V91" i="3"/>
  <c r="U92" i="3"/>
  <c r="V92" i="3"/>
  <c r="U93" i="3"/>
  <c r="V93" i="3"/>
  <c r="U94" i="3"/>
  <c r="V94" i="3"/>
  <c r="U95" i="3"/>
  <c r="V95" i="3"/>
  <c r="U96" i="3"/>
  <c r="V96" i="3"/>
  <c r="U97" i="3"/>
  <c r="V97" i="3"/>
  <c r="U98" i="3"/>
  <c r="V98" i="3"/>
  <c r="U99" i="3"/>
  <c r="V99" i="3"/>
  <c r="U100" i="3"/>
  <c r="V100" i="3"/>
  <c r="U101" i="3"/>
  <c r="V101" i="3"/>
  <c r="U102" i="3"/>
  <c r="V102" i="3"/>
  <c r="U103" i="3"/>
  <c r="V103" i="3"/>
  <c r="U104" i="3"/>
  <c r="V104" i="3"/>
  <c r="U105" i="3"/>
  <c r="V105" i="3"/>
  <c r="U106" i="3"/>
  <c r="V106" i="3"/>
  <c r="U107" i="3"/>
  <c r="V107" i="3"/>
  <c r="U108" i="3"/>
  <c r="V108" i="3"/>
  <c r="U109" i="3"/>
  <c r="V109" i="3"/>
  <c r="U110" i="3"/>
  <c r="V110" i="3"/>
  <c r="U111" i="3"/>
  <c r="V111" i="3"/>
  <c r="U112" i="3"/>
  <c r="V112" i="3"/>
  <c r="U113" i="3"/>
  <c r="V113" i="3"/>
  <c r="U114" i="3"/>
  <c r="V114" i="3"/>
  <c r="U115" i="3"/>
  <c r="V115" i="3"/>
  <c r="U116" i="3"/>
  <c r="V116" i="3"/>
  <c r="U117" i="3"/>
  <c r="V117" i="3"/>
  <c r="U118" i="3"/>
  <c r="V118" i="3"/>
  <c r="U119" i="3"/>
  <c r="V119" i="3"/>
  <c r="U120" i="3"/>
  <c r="V120" i="3"/>
</calcChain>
</file>

<file path=xl/sharedStrings.xml><?xml version="1.0" encoding="utf-8"?>
<sst xmlns="http://schemas.openxmlformats.org/spreadsheetml/2006/main" count="1656" uniqueCount="400">
  <si>
    <t>OrderID</t>
  </si>
  <si>
    <t>OrderDate</t>
  </si>
  <si>
    <t>ShipDate</t>
  </si>
  <si>
    <t>Region</t>
  </si>
  <si>
    <t>Country</t>
  </si>
  <si>
    <t>State</t>
  </si>
  <si>
    <t>City</t>
  </si>
  <si>
    <t>Category</t>
  </si>
  <si>
    <t>SubCategory</t>
  </si>
  <si>
    <t>ProductName</t>
  </si>
  <si>
    <t>Sales</t>
  </si>
  <si>
    <t>Quantity</t>
  </si>
  <si>
    <t>Discount</t>
  </si>
  <si>
    <t>Profit</t>
  </si>
  <si>
    <t>CustomerID</t>
  </si>
  <si>
    <t>CustomerName</t>
  </si>
  <si>
    <t>Segment</t>
  </si>
  <si>
    <t>ShippingMode</t>
  </si>
  <si>
    <t>CA-10001</t>
  </si>
  <si>
    <t>APAC</t>
  </si>
  <si>
    <t>India</t>
  </si>
  <si>
    <t>Maharashtra</t>
  </si>
  <si>
    <t>Nagpur</t>
  </si>
  <si>
    <t>Technology</t>
  </si>
  <si>
    <t>Laptops</t>
  </si>
  <si>
    <t>Lenovo ThinkPad L14</t>
  </si>
  <si>
    <t>C-001</t>
  </si>
  <si>
    <t>Ravi Sharma</t>
  </si>
  <si>
    <t>Corporate</t>
  </si>
  <si>
    <t>Standard Class</t>
  </si>
  <si>
    <t>CA-10002</t>
  </si>
  <si>
    <t>Karnataka</t>
  </si>
  <si>
    <t>Bengaluru</t>
  </si>
  <si>
    <t>Furniture</t>
  </si>
  <si>
    <t>Chairs</t>
  </si>
  <si>
    <t>ErgoChair Pro</t>
  </si>
  <si>
    <t>C-002</t>
  </si>
  <si>
    <t>Anita Rao</t>
  </si>
  <si>
    <t>Consumer</t>
  </si>
  <si>
    <t>CA-10003</t>
  </si>
  <si>
    <t>Europe</t>
  </si>
  <si>
    <t>Germany</t>
  </si>
  <si>
    <t>Bavaria</t>
  </si>
  <si>
    <t>Munich</t>
  </si>
  <si>
    <t>Office Supplies</t>
  </si>
  <si>
    <t>Paper</t>
  </si>
  <si>
    <t>Premium A4 Copier Paper</t>
  </si>
  <si>
    <t>C-003</t>
  </si>
  <si>
    <t>Julia Becker</t>
  </si>
  <si>
    <t>Home Office</t>
  </si>
  <si>
    <t>Second Class</t>
  </si>
  <si>
    <t>CA-10004</t>
  </si>
  <si>
    <t>US</t>
  </si>
  <si>
    <t>USA</t>
  </si>
  <si>
    <t>New York</t>
  </si>
  <si>
    <t>Phones</t>
  </si>
  <si>
    <t>iPhone 14 Pro</t>
  </si>
  <si>
    <t>C-004</t>
  </si>
  <si>
    <t>Michael Lee</t>
  </si>
  <si>
    <t>First Class</t>
  </si>
  <si>
    <t>CA-10005</t>
  </si>
  <si>
    <t>California</t>
  </si>
  <si>
    <t>Los Angeles</t>
  </si>
  <si>
    <t>Tables</t>
  </si>
  <si>
    <t>Wooden Work Table</t>
  </si>
  <si>
    <t>C-005</t>
  </si>
  <si>
    <t>Sarah Jones</t>
  </si>
  <si>
    <t>CA-10006</t>
  </si>
  <si>
    <t>Delhi</t>
  </si>
  <si>
    <t>Accessories</t>
  </si>
  <si>
    <t>Logitech MX Mouse</t>
  </si>
  <si>
    <t>C-006</t>
  </si>
  <si>
    <t>Aditya Verma</t>
  </si>
  <si>
    <t>CA-10007</t>
  </si>
  <si>
    <t>Tamil Nadu</t>
  </si>
  <si>
    <t>Chennai</t>
  </si>
  <si>
    <t>Binders</t>
  </si>
  <si>
    <t>Executive Ring Binder</t>
  </si>
  <si>
    <t>C-007</t>
  </si>
  <si>
    <t>Pooja Iyer</t>
  </si>
  <si>
    <t>CA-10008</t>
  </si>
  <si>
    <t>France</t>
  </si>
  <si>
    <t>Île-de-France</t>
  </si>
  <si>
    <t>Paris</t>
  </si>
  <si>
    <t>Furnishings</t>
  </si>
  <si>
    <t>Decorative Lamp</t>
  </si>
  <si>
    <t>C-008</t>
  </si>
  <si>
    <t>Louis Martin</t>
  </si>
  <si>
    <t>CA-10009</t>
  </si>
  <si>
    <t>Texas</t>
  </si>
  <si>
    <t>Houston</t>
  </si>
  <si>
    <t>HP EliteBook 840</t>
  </si>
  <si>
    <t>C-009</t>
  </si>
  <si>
    <t>John Miller</t>
  </si>
  <si>
    <t>CA-10010</t>
  </si>
  <si>
    <t>Gujarat</t>
  </si>
  <si>
    <t>Ahmedabad</t>
  </si>
  <si>
    <t>A4 Notebook Spiral</t>
  </si>
  <si>
    <t>C-010</t>
  </si>
  <si>
    <t>Nirali Patel</t>
  </si>
  <si>
    <t>CA-10011</t>
  </si>
  <si>
    <t>Mumbai</t>
  </si>
  <si>
    <t>Samsung S23 Ultra</t>
  </si>
  <si>
    <t>C-011</t>
  </si>
  <si>
    <t>Karan Malhotra</t>
  </si>
  <si>
    <t>CA-10012</t>
  </si>
  <si>
    <t>UK</t>
  </si>
  <si>
    <t>England</t>
  </si>
  <si>
    <t>London</t>
  </si>
  <si>
    <t>Leather Office Chair</t>
  </si>
  <si>
    <t>C-012</t>
  </si>
  <si>
    <t>Ava Brown</t>
  </si>
  <si>
    <t>CA-10013</t>
  </si>
  <si>
    <t>Florida</t>
  </si>
  <si>
    <t>Miami</t>
  </si>
  <si>
    <t>Sandisk SSD 1TB</t>
  </si>
  <si>
    <t>C-013</t>
  </si>
  <si>
    <t>Ethan Clark</t>
  </si>
  <si>
    <t>CA-10014</t>
  </si>
  <si>
    <t>Rajasthan</t>
  </si>
  <si>
    <t>Jaipur</t>
  </si>
  <si>
    <t>Glass Study Table</t>
  </si>
  <si>
    <t>C-014</t>
  </si>
  <si>
    <t>Priya Rathod</t>
  </si>
  <si>
    <t>CA-10015</t>
  </si>
  <si>
    <t>Hamburg</t>
  </si>
  <si>
    <t>Printer Paper 500 Sheets</t>
  </si>
  <si>
    <t>C-015</t>
  </si>
  <si>
    <t>Jonas Kruger</t>
  </si>
  <si>
    <t>CA-10016</t>
  </si>
  <si>
    <t>Georgia</t>
  </si>
  <si>
    <t>Atlanta</t>
  </si>
  <si>
    <t>Google Pixel 8</t>
  </si>
  <si>
    <t>C-016</t>
  </si>
  <si>
    <t>Olivia Wilson</t>
  </si>
  <si>
    <t>CA-10017</t>
  </si>
  <si>
    <t>Madhya Pradesh</t>
  </si>
  <si>
    <t>Indore</t>
  </si>
  <si>
    <t>Boat Wireless Headphones</t>
  </si>
  <si>
    <t>C-017</t>
  </si>
  <si>
    <t>Harshit Jain</t>
  </si>
  <si>
    <t>CA-10018</t>
  </si>
  <si>
    <t>LED Desk Lamp</t>
  </si>
  <si>
    <t>C-018</t>
  </si>
  <si>
    <t>Sameer Kulkarni</t>
  </si>
  <si>
    <t>CA-10019</t>
  </si>
  <si>
    <t>Occitanie</t>
  </si>
  <si>
    <t>Toulouse</t>
  </si>
  <si>
    <t>OnePlus 11</t>
  </si>
  <si>
    <t>C-019</t>
  </si>
  <si>
    <t>Leo Bernard</t>
  </si>
  <si>
    <t>CA-10020</t>
  </si>
  <si>
    <t>Pune</t>
  </si>
  <si>
    <t>Office Binder Pack</t>
  </si>
  <si>
    <t>C-020</t>
  </si>
  <si>
    <t>Atharva Joshi</t>
  </si>
  <si>
    <t>CA-10021</t>
  </si>
  <si>
    <t>Illinois</t>
  </si>
  <si>
    <t>Chicago</t>
  </si>
  <si>
    <t>Microsoft Surface Laptop 5</t>
  </si>
  <si>
    <t>C-021</t>
  </si>
  <si>
    <t>Grace Parker</t>
  </si>
  <si>
    <t>CA-10022</t>
  </si>
  <si>
    <t>West Bengal</t>
  </si>
  <si>
    <t>Kolkata</t>
  </si>
  <si>
    <t>Plastic Study Chair</t>
  </si>
  <si>
    <t>C-022</t>
  </si>
  <si>
    <t>Ritwik Sen</t>
  </si>
  <si>
    <t>CA-10023</t>
  </si>
  <si>
    <t>Berlin</t>
  </si>
  <si>
    <t>Razer Gaming Mouse</t>
  </si>
  <si>
    <t>C-023</t>
  </si>
  <si>
    <t>Max Vogel</t>
  </si>
  <si>
    <t>CA-10024</t>
  </si>
  <si>
    <t>Telangana</t>
  </si>
  <si>
    <t>Hyderabad</t>
  </si>
  <si>
    <t>Exam Sheets Bundle</t>
  </si>
  <si>
    <t>C-024</t>
  </si>
  <si>
    <t>Anvesh Reddy</t>
  </si>
  <si>
    <t>CA-10025</t>
  </si>
  <si>
    <t>Washington</t>
  </si>
  <si>
    <t>Seattle</t>
  </si>
  <si>
    <t>Standing Desk</t>
  </si>
  <si>
    <t>C-025</t>
  </si>
  <si>
    <t>Isabella Sanders</t>
  </si>
  <si>
    <t>CA-10026</t>
  </si>
  <si>
    <t>Redmi Note 12 Pro</t>
  </si>
  <si>
    <t>C-026</t>
  </si>
  <si>
    <t>Varun S</t>
  </si>
  <si>
    <t>CA-10027</t>
  </si>
  <si>
    <t>Italy</t>
  </si>
  <si>
    <t>Lombardy</t>
  </si>
  <si>
    <t>Milan</t>
  </si>
  <si>
    <t>Modern Office Chair</t>
  </si>
  <si>
    <t>C-027</t>
  </si>
  <si>
    <t>Marco Rossi</t>
  </si>
  <si>
    <t>CA-10028</t>
  </si>
  <si>
    <t>Surat</t>
  </si>
  <si>
    <t>Classic Binder Set</t>
  </si>
  <si>
    <t>C-028</t>
  </si>
  <si>
    <t>Krisha Mehta</t>
  </si>
  <si>
    <t>CA-10029</t>
  </si>
  <si>
    <t>Buffalo</t>
  </si>
  <si>
    <t>Apple AirPods Pro</t>
  </si>
  <si>
    <t>C-029</t>
  </si>
  <si>
    <t>Jacob Hall</t>
  </si>
  <si>
    <t>CA-10030</t>
  </si>
  <si>
    <t>Spain</t>
  </si>
  <si>
    <t>Madrid</t>
  </si>
  <si>
    <t>Motorola Edge</t>
  </si>
  <si>
    <t>C-030</t>
  </si>
  <si>
    <t>Lucia Torres</t>
  </si>
  <si>
    <t>CA-10031</t>
  </si>
  <si>
    <t>Drawing Sheets Pack</t>
  </si>
  <si>
    <t>C-031</t>
  </si>
  <si>
    <t>Manan Singh</t>
  </si>
  <si>
    <t>CA-10032</t>
  </si>
  <si>
    <t>Punjab</t>
  </si>
  <si>
    <t>Amritsar</t>
  </si>
  <si>
    <t>Wall Clock Vintage</t>
  </si>
  <si>
    <t>C-032</t>
  </si>
  <si>
    <t>Simran Kaur</t>
  </si>
  <si>
    <t>CA-10033</t>
  </si>
  <si>
    <t>San Diego</t>
  </si>
  <si>
    <t>Logitech Keyboard K380</t>
  </si>
  <si>
    <t>C-033</t>
  </si>
  <si>
    <t>George Adams</t>
  </si>
  <si>
    <t>CA-10034</t>
  </si>
  <si>
    <t>Odisha</t>
  </si>
  <si>
    <t>Bhubaneswar</t>
  </si>
  <si>
    <t>Mesh Office Chair</t>
  </si>
  <si>
    <t>C-034</t>
  </si>
  <si>
    <t>Smita Panda</t>
  </si>
  <si>
    <t>CA-10035</t>
  </si>
  <si>
    <t>Normandy</t>
  </si>
  <si>
    <t>Rouen</t>
  </si>
  <si>
    <t>Premium Binders Pack</t>
  </si>
  <si>
    <t>C-035</t>
  </si>
  <si>
    <t>Zoé Laurent</t>
  </si>
  <si>
    <t>CA-10036</t>
  </si>
  <si>
    <t>Haryana</t>
  </si>
  <si>
    <t>Gurugram</t>
  </si>
  <si>
    <t>Acer Aspire 7</t>
  </si>
  <si>
    <t>C-036</t>
  </si>
  <si>
    <t>Rohan Kapoor</t>
  </si>
  <si>
    <t>CA-10037</t>
  </si>
  <si>
    <t>Compact Study Desk</t>
  </si>
  <si>
    <t>C-037</t>
  </si>
  <si>
    <t>Anna Klein</t>
  </si>
  <si>
    <t>CA-10038</t>
  </si>
  <si>
    <t>Dallas</t>
  </si>
  <si>
    <t>Asus ROG Phone 6</t>
  </si>
  <si>
    <t>C-038</t>
  </si>
  <si>
    <t>Emily Turner</t>
  </si>
  <si>
    <t>CA-10039</t>
  </si>
  <si>
    <t>Bihar</t>
  </si>
  <si>
    <t>Patna</t>
  </si>
  <si>
    <t>Legal Paper Pack</t>
  </si>
  <si>
    <t>C-039</t>
  </si>
  <si>
    <t>Deepak Yadav</t>
  </si>
  <si>
    <t>CA-10040</t>
  </si>
  <si>
    <t>Tuscany</t>
  </si>
  <si>
    <t>Florence</t>
  </si>
  <si>
    <t>Minimal Desk Lamp</t>
  </si>
  <si>
    <t>C-040</t>
  </si>
  <si>
    <t>Giulia Conti</t>
  </si>
  <si>
    <t>CA-10041</t>
  </si>
  <si>
    <t>Orlando</t>
  </si>
  <si>
    <t>Power Bank 20000mAh</t>
  </si>
  <si>
    <t>C-041</t>
  </si>
  <si>
    <t>Charles Moore</t>
  </si>
  <si>
    <t>CA-10042</t>
  </si>
  <si>
    <t>Nashik</t>
  </si>
  <si>
    <t>Wooden Study Chair</t>
  </si>
  <si>
    <t>C-042</t>
  </si>
  <si>
    <t>Shubham Deshmukh</t>
  </si>
  <si>
    <t>CA-10043</t>
  </si>
  <si>
    <t>Valencia</t>
  </si>
  <si>
    <t>Dell XPS 13</t>
  </si>
  <si>
    <t>C-043</t>
  </si>
  <si>
    <t>Mario Ruiz</t>
  </si>
  <si>
    <t>CA-10044</t>
  </si>
  <si>
    <t>Chhattisgarh</t>
  </si>
  <si>
    <t>Raipur</t>
  </si>
  <si>
    <t>Basic Binder Pack</t>
  </si>
  <si>
    <t>C-044</t>
  </si>
  <si>
    <t>Akash Sahu</t>
  </si>
  <si>
    <t>CA-10045</t>
  </si>
  <si>
    <t>Ohio</t>
  </si>
  <si>
    <t>Cleveland</t>
  </si>
  <si>
    <t>Office Work Table</t>
  </si>
  <si>
    <t>C-045</t>
  </si>
  <si>
    <t>Megan Price</t>
  </si>
  <si>
    <t>CA-10046</t>
  </si>
  <si>
    <t>Spokane</t>
  </si>
  <si>
    <t>Samsung A54</t>
  </si>
  <si>
    <t>C-046</t>
  </si>
  <si>
    <t>Henry Scott</t>
  </si>
  <si>
    <t>CA-10047</t>
  </si>
  <si>
    <t>Manchester</t>
  </si>
  <si>
    <t>Sticky Notes Pack</t>
  </si>
  <si>
    <t>C-047</t>
  </si>
  <si>
    <t>Ella White</t>
  </si>
  <si>
    <t>CA-10048</t>
  </si>
  <si>
    <t>Kerala</t>
  </si>
  <si>
    <t>Kochi</t>
  </si>
  <si>
    <t>Metal Floor Lamp</t>
  </si>
  <si>
    <t>C-048</t>
  </si>
  <si>
    <t>Arjun Menon</t>
  </si>
  <si>
    <t>CA-10049</t>
  </si>
  <si>
    <t>Hessen</t>
  </si>
  <si>
    <t>Frankfurt</t>
  </si>
  <si>
    <t>USB-C Hub 6-in-1</t>
  </si>
  <si>
    <t>C-049</t>
  </si>
  <si>
    <t>Sven Hoffmann</t>
  </si>
  <si>
    <t>CA-10050</t>
  </si>
  <si>
    <t>Uttar Pradesh</t>
  </si>
  <si>
    <t>Noida</t>
  </si>
  <si>
    <t>Asus Vivobook 15</t>
  </si>
  <si>
    <t>C-050</t>
  </si>
  <si>
    <t>Rishabh Goel</t>
  </si>
  <si>
    <t>Assumptions</t>
  </si>
  <si>
    <t>Discount (%)</t>
  </si>
  <si>
    <t>Current-Rate</t>
  </si>
  <si>
    <t>Sales($)</t>
  </si>
  <si>
    <t>Year</t>
  </si>
  <si>
    <t>Month</t>
  </si>
  <si>
    <t>CA-10051</t>
  </si>
  <si>
    <t>CA-10052</t>
  </si>
  <si>
    <t>CA-10053</t>
  </si>
  <si>
    <t>CA-10054</t>
  </si>
  <si>
    <t>CA-10055</t>
  </si>
  <si>
    <t>CA-10056</t>
  </si>
  <si>
    <t>CA-10057</t>
  </si>
  <si>
    <t>CA-10058</t>
  </si>
  <si>
    <t>Category_Clean</t>
  </si>
  <si>
    <t>Subcategory_Clean</t>
  </si>
  <si>
    <t>Profit_Margin</t>
  </si>
  <si>
    <t xml:space="preserve">Discount_Amount </t>
  </si>
  <si>
    <t>Order_Month_Name</t>
  </si>
  <si>
    <t>Region_Final</t>
  </si>
  <si>
    <t>Row Labels</t>
  </si>
  <si>
    <t>Grand Total</t>
  </si>
  <si>
    <t>Sum of Sales</t>
  </si>
  <si>
    <t>Sum of Profit</t>
  </si>
  <si>
    <t>(blank)</t>
  </si>
  <si>
    <t>Jan</t>
  </si>
  <si>
    <t>Feb</t>
  </si>
  <si>
    <t>Mar</t>
  </si>
  <si>
    <t>Apr</t>
  </si>
  <si>
    <t>Frequency</t>
  </si>
  <si>
    <t>Recency (days)</t>
  </si>
  <si>
    <t>Monetary (₹)</t>
  </si>
  <si>
    <t>R</t>
  </si>
  <si>
    <t>F</t>
  </si>
  <si>
    <t>M</t>
  </si>
  <si>
    <t>Max Date</t>
  </si>
  <si>
    <t>Big Spender (At Risk)</t>
  </si>
  <si>
    <t>Lost Customers</t>
  </si>
  <si>
    <t>Average Customers</t>
  </si>
  <si>
    <t>Loyal Customers</t>
  </si>
  <si>
    <t>New Customers</t>
  </si>
  <si>
    <t>Champions</t>
  </si>
  <si>
    <t>1. Data Source Assumptions</t>
  </si>
  <si>
    <t>The dataset represents historical retail transaction data and is assumed to be complete and accurate as provided.</t>
  </si>
  <si>
    <t>No external enrichment (third-party datasets) was applied beyond internally derived lookup tables.</t>
  </si>
  <si>
    <t>Currency values are assumed to be consistent across all records unless otherwise stated.</t>
  </si>
  <si>
    <t>2. Missing Data Handling</t>
  </si>
  <si>
    <t>Records with missing Order ID or Sales values were removed, as these fields are critical for transactional analysis.</t>
  </si>
  <si>
    <t>Missing or invalid values in non-critical categorical fields (e.g., Region) were replaced using lookup-based derivation.</t>
  </si>
  <si>
    <t>Any categorical value that could not be confidently derived was labeled as “Unknown” to prevent incorrect aggregation.</t>
  </si>
  <si>
    <t>3. Geographic Mapping Assumptions</t>
  </si>
  <si>
    <t>Regional classification was derived using a predefined State → Region lookup table.</t>
  </si>
  <si>
    <t>Region values present in the raw dataset were not trusted and were recalculated to ensure consistency.</t>
  </si>
  <si>
    <t>States not present in the lookup table were categorized as “Unknown”.</t>
  </si>
  <si>
    <t>Geographic mappings reflect commonly accepted business regions and not official administrative definitions.</t>
  </si>
  <si>
    <t>4. Category Standardization Assumptions</t>
  </si>
  <si>
    <t>Product categories were standardized using a raw-to-canonical lookup table to correct spelling variations, casing differences, and known abbreviations.</t>
  </si>
  <si>
    <t>Canonical category names represent the single source of truth used across all analyses and visualizations.</t>
  </si>
  <si>
    <t>Any category value not present in the correction lookup was assumed to be valid after normalization (trimmed and proper-cased).</t>
  </si>
  <si>
    <t>5. Data Validation Controls</t>
  </si>
  <si>
    <t>Excel Data Validation dropdowns were applied to key categorical fields (Category, Region) to prevent future data entry errors.</t>
  </si>
  <si>
    <t>Validation rules restrict input to predefined canonical values only.</t>
  </si>
  <si>
    <t>Existing records were cleaned prior to applying validation rules.</t>
  </si>
  <si>
    <t>6. Calculated Field Assumptions</t>
  </si>
  <si>
    <t>Profit Margin was calculated as Profit / Sales. Records with zero sales were assigned a margin of 0 to avoid division errors.</t>
  </si>
  <si>
    <t>Discount Amount was calculated as Sales × Discount, assuming Discount is stored as a percentage value.</t>
  </si>
  <si>
    <t>Date-based fields (Year, Month) were derived from Order Date and assumed to follow the Gregorian calendar.</t>
  </si>
  <si>
    <t>7. Aggregation &amp; Analysis Assumptions</t>
  </si>
  <si>
    <t>All aggregations in Excel and Tableau use SUM for Sales and Profit unless explicitly stated otherwise.</t>
  </si>
  <si>
    <t>Tableau calculations are assumed to be correct based on extracted data from the cleaned Excel file.</t>
  </si>
  <si>
    <t>RFM analysis was performed at the customer level using transactional history available in the dataset.</t>
  </si>
  <si>
    <t>8. BI &amp; Reporting Assumptions</t>
  </si>
  <si>
    <t>Tableau dashboards are intended for exploratory and executive-level analysis, not operational reporting.</t>
  </si>
  <si>
    <t>Filter selections (Year, Region) affect all KPI calculations dynamically.</t>
  </si>
  <si>
    <t>Any discrepancies between Excel and Tableau outputs were resolved by validating against the cleaned dataset.</t>
  </si>
  <si>
    <t>9. Limitations</t>
  </si>
  <si>
    <t>The analysis does not account for inflation, seasonality adjustments, or external market factors.</t>
  </si>
  <si>
    <t>Discount effectiveness is evaluated based on correlation, not controlled experimentation.</t>
  </si>
  <si>
    <t>Customer behavior analysis is limited to historical transaction data available in the dataset.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</si>
</sst>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dd\/mm\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65" fontId="0" fillId="0" borderId="0" xfId="0" applyNumberFormat="1"/>
    <xf numFmtId="165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2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Insights!$J$1</c:f>
              <c:strCache>
                <c:ptCount val="1"/>
                <c:pt idx="0">
                  <c:v>Profit_Margin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Insights!$I$2:$I$120</c:f>
              <c:numCache>
                <c:formatCode>General</c:formatCode>
                <c:ptCount val="119"/>
                <c:pt idx="0">
                  <c:v>0.1</c:v>
                </c:pt>
                <c:pt idx="1">
                  <c:v>0.2</c:v>
                </c:pt>
                <c:pt idx="2">
                  <c:v>0</c:v>
                </c:pt>
                <c:pt idx="3">
                  <c:v>0.05</c:v>
                </c:pt>
                <c:pt idx="4">
                  <c:v>0.25</c:v>
                </c:pt>
                <c:pt idx="5">
                  <c:v>0</c:v>
                </c:pt>
                <c:pt idx="6">
                  <c:v>0.1</c:v>
                </c:pt>
                <c:pt idx="7">
                  <c:v>0.15</c:v>
                </c:pt>
                <c:pt idx="8">
                  <c:v>0.2</c:v>
                </c:pt>
                <c:pt idx="9">
                  <c:v>0</c:v>
                </c:pt>
                <c:pt idx="10">
                  <c:v>0.1</c:v>
                </c:pt>
                <c:pt idx="11">
                  <c:v>0.2</c:v>
                </c:pt>
                <c:pt idx="12">
                  <c:v>0.15</c:v>
                </c:pt>
                <c:pt idx="13">
                  <c:v>0.3</c:v>
                </c:pt>
                <c:pt idx="14">
                  <c:v>0</c:v>
                </c:pt>
                <c:pt idx="15">
                  <c:v>0.05</c:v>
                </c:pt>
                <c:pt idx="16">
                  <c:v>0.2</c:v>
                </c:pt>
                <c:pt idx="17">
                  <c:v>0.1</c:v>
                </c:pt>
                <c:pt idx="18">
                  <c:v>0.25</c:v>
                </c:pt>
                <c:pt idx="19">
                  <c:v>0</c:v>
                </c:pt>
                <c:pt idx="20">
                  <c:v>0.1</c:v>
                </c:pt>
                <c:pt idx="21">
                  <c:v>0.2</c:v>
                </c:pt>
                <c:pt idx="22">
                  <c:v>0.15</c:v>
                </c:pt>
                <c:pt idx="23">
                  <c:v>0</c:v>
                </c:pt>
                <c:pt idx="24">
                  <c:v>0.1</c:v>
                </c:pt>
                <c:pt idx="25">
                  <c:v>0.3</c:v>
                </c:pt>
                <c:pt idx="26">
                  <c:v>0.2</c:v>
                </c:pt>
                <c:pt idx="27">
                  <c:v>0.1</c:v>
                </c:pt>
                <c:pt idx="28">
                  <c:v>0.05</c:v>
                </c:pt>
                <c:pt idx="29">
                  <c:v>0.2</c:v>
                </c:pt>
                <c:pt idx="30">
                  <c:v>0</c:v>
                </c:pt>
                <c:pt idx="31">
                  <c:v>0.15</c:v>
                </c:pt>
                <c:pt idx="32">
                  <c:v>0.1</c:v>
                </c:pt>
                <c:pt idx="33">
                  <c:v>0.2</c:v>
                </c:pt>
                <c:pt idx="34">
                  <c:v>0.2</c:v>
                </c:pt>
                <c:pt idx="35">
                  <c:v>0.15</c:v>
                </c:pt>
                <c:pt idx="36">
                  <c:v>0.1</c:v>
                </c:pt>
                <c:pt idx="37">
                  <c:v>0.1</c:v>
                </c:pt>
                <c:pt idx="38">
                  <c:v>0</c:v>
                </c:pt>
                <c:pt idx="39">
                  <c:v>0.15</c:v>
                </c:pt>
                <c:pt idx="40">
                  <c:v>0.1</c:v>
                </c:pt>
                <c:pt idx="41">
                  <c:v>0.2</c:v>
                </c:pt>
                <c:pt idx="42">
                  <c:v>0.05</c:v>
                </c:pt>
                <c:pt idx="43">
                  <c:v>0.1</c:v>
                </c:pt>
                <c:pt idx="44">
                  <c:v>0.25</c:v>
                </c:pt>
                <c:pt idx="45">
                  <c:v>0.1</c:v>
                </c:pt>
                <c:pt idx="46">
                  <c:v>0</c:v>
                </c:pt>
                <c:pt idx="47">
                  <c:v>0.1</c:v>
                </c:pt>
                <c:pt idx="48">
                  <c:v>0.15</c:v>
                </c:pt>
                <c:pt idx="49">
                  <c:v>0.2</c:v>
                </c:pt>
              </c:numCache>
            </c:numRef>
          </c:xVal>
          <c:yVal>
            <c:numRef>
              <c:f>Insights!$J$2:$J$120</c:f>
              <c:numCache>
                <c:formatCode>General</c:formatCode>
                <c:ptCount val="119"/>
                <c:pt idx="0">
                  <c:v>12.615384615384615</c:v>
                </c:pt>
                <c:pt idx="1">
                  <c:v>-8.3333333333333339</c:v>
                </c:pt>
                <c:pt idx="2">
                  <c:v>2.9166666666666665</c:v>
                </c:pt>
                <c:pt idx="3">
                  <c:v>13.333333333333334</c:v>
                </c:pt>
                <c:pt idx="4">
                  <c:v>-8.1818181818181817</c:v>
                </c:pt>
                <c:pt idx="5">
                  <c:v>5</c:v>
                </c:pt>
                <c:pt idx="6">
                  <c:v>9</c:v>
                </c:pt>
                <c:pt idx="7">
                  <c:v>-8</c:v>
                </c:pt>
                <c:pt idx="8">
                  <c:v>-24</c:v>
                </c:pt>
                <c:pt idx="9">
                  <c:v>3.75</c:v>
                </c:pt>
                <c:pt idx="10">
                  <c:v>14.857142857142858</c:v>
                </c:pt>
                <c:pt idx="11">
                  <c:v>-6</c:v>
                </c:pt>
                <c:pt idx="12">
                  <c:v>12.4</c:v>
                </c:pt>
                <c:pt idx="13">
                  <c:v>-5.5</c:v>
                </c:pt>
                <c:pt idx="14">
                  <c:v>2.625</c:v>
                </c:pt>
                <c:pt idx="15">
                  <c:v>15.6</c:v>
                </c:pt>
                <c:pt idx="16">
                  <c:v>12.5</c:v>
                </c:pt>
                <c:pt idx="17">
                  <c:v>18</c:v>
                </c:pt>
                <c:pt idx="18">
                  <c:v>-11.6</c:v>
                </c:pt>
                <c:pt idx="19">
                  <c:v>5.666666666666667</c:v>
                </c:pt>
                <c:pt idx="20">
                  <c:v>13.125</c:v>
                </c:pt>
                <c:pt idx="21">
                  <c:v>-5.5</c:v>
                </c:pt>
                <c:pt idx="22">
                  <c:v>18</c:v>
                </c:pt>
                <c:pt idx="23">
                  <c:v>2.3333333333333335</c:v>
                </c:pt>
                <c:pt idx="24">
                  <c:v>17.777777777777779</c:v>
                </c:pt>
                <c:pt idx="25">
                  <c:v>-8</c:v>
                </c:pt>
                <c:pt idx="26">
                  <c:v>-8.5</c:v>
                </c:pt>
                <c:pt idx="27">
                  <c:v>15.6</c:v>
                </c:pt>
                <c:pt idx="28">
                  <c:v>14</c:v>
                </c:pt>
                <c:pt idx="29">
                  <c:v>-20.5</c:v>
                </c:pt>
                <c:pt idx="30">
                  <c:v>2.1428571428571428</c:v>
                </c:pt>
                <c:pt idx="31">
                  <c:v>-14.666666666666666</c:v>
                </c:pt>
                <c:pt idx="32">
                  <c:v>16</c:v>
                </c:pt>
                <c:pt idx="33">
                  <c:v>-8.6666666666666661</c:v>
                </c:pt>
                <c:pt idx="34">
                  <c:v>-26</c:v>
                </c:pt>
                <c:pt idx="35">
                  <c:v>-29</c:v>
                </c:pt>
                <c:pt idx="36">
                  <c:v>20</c:v>
                </c:pt>
                <c:pt idx="37">
                  <c:v>14.444444444444445</c:v>
                </c:pt>
                <c:pt idx="38">
                  <c:v>3.875</c:v>
                </c:pt>
                <c:pt idx="39">
                  <c:v>-14</c:v>
                </c:pt>
                <c:pt idx="40">
                  <c:v>11.666666666666666</c:v>
                </c:pt>
                <c:pt idx="41">
                  <c:v>-11.6</c:v>
                </c:pt>
                <c:pt idx="42">
                  <c:v>12.631578947368421</c:v>
                </c:pt>
                <c:pt idx="43">
                  <c:v>30</c:v>
                </c:pt>
                <c:pt idx="44">
                  <c:v>-8.2608695652173907</c:v>
                </c:pt>
                <c:pt idx="45">
                  <c:v>18.75</c:v>
                </c:pt>
                <c:pt idx="46">
                  <c:v>4.166666666666667</c:v>
                </c:pt>
                <c:pt idx="47">
                  <c:v>-35</c:v>
                </c:pt>
                <c:pt idx="48">
                  <c:v>19.2</c:v>
                </c:pt>
                <c:pt idx="49">
                  <c:v>-30.666666666666668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631704"/>
        <c:axId val="349632880"/>
      </c:scatterChart>
      <c:valAx>
        <c:axId val="349631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632880"/>
        <c:crosses val="autoZero"/>
        <c:crossBetween val="midCat"/>
      </c:valAx>
      <c:valAx>
        <c:axId val="34963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631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547687</xdr:colOff>
      <xdr:row>5</xdr:row>
      <xdr:rowOff>4762</xdr:rowOff>
    </xdr:from>
    <xdr:to>
      <xdr:col>11</xdr:col>
      <xdr:colOff>319087</xdr:colOff>
      <xdr:row>19</xdr:row>
      <xdr:rowOff>80962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010.923178124998" createdVersion="5" refreshedVersion="5" minRefreshableVersion="3" recordCount="119">
  <cacheSource type="worksheet">
    <worksheetSource ref="A1:F120" sheet="Pivot"/>
  </cacheSource>
  <cacheFields count="6">
    <cacheField name="OrderDate" numFmtId="0">
      <sharedItems containsNonDate="0" containsDate="1" containsString="0" containsBlank="1" minDate="2023-01-03T00:00:00" maxDate="2023-02-22T00:00:00"/>
    </cacheField>
    <cacheField name="Region_Final" numFmtId="0">
      <sharedItems count="4">
        <s v="APAC"/>
        <s v="Europe"/>
        <s v="US"/>
        <s v="Unknown"/>
      </sharedItems>
    </cacheField>
    <cacheField name="Category" numFmtId="0">
      <sharedItems containsBlank="1"/>
    </cacheField>
    <cacheField name="SubCategory" numFmtId="0">
      <sharedItems containsBlank="1"/>
    </cacheField>
    <cacheField name="Sales" numFmtId="0">
      <sharedItems containsString="0" containsBlank="1" containsNumber="1" containsInteger="1" minValue="150" maxValue="120000"/>
    </cacheField>
    <cacheField name="Profit" numFmtId="0">
      <sharedItems containsString="0" containsBlank="1" containsNumber="1" containsInteger="1" minValue="-5000" maxValue="9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User" refreshedDate="46010.960596412035" createdVersion="5" refreshedVersion="5" minRefreshableVersion="3" recordCount="120">
  <cacheSource type="worksheet">
    <worksheetSource ref="A1:F1048576" sheet="Pivot"/>
  </cacheSource>
  <cacheFields count="6">
    <cacheField name="OrderDate" numFmtId="165">
      <sharedItems containsNonDate="0" containsDate="1" containsString="0" containsBlank="1" minDate="2023-01-03T00:00:00" maxDate="2023-04-29T00:00:00" count="84">
        <d v="2023-01-03T00:00:00"/>
        <d v="2023-01-05T00:00:00"/>
        <d v="2023-01-10T00:00:00"/>
        <d v="2023-01-12T00:00:00"/>
        <d v="2023-01-13T00:00:00"/>
        <d v="2023-01-20T00:00:00"/>
        <d v="2023-01-22T00:00:00"/>
        <d v="2023-01-25T00:00:00"/>
        <d v="2023-01-27T00:00:00"/>
        <d v="2023-02-02T00:00:00"/>
        <d v="2023-02-03T00:00:00"/>
        <d v="2023-02-05T00:00:00"/>
        <d v="2023-02-09T00:00:00"/>
        <d v="2023-02-11T00:00:00"/>
        <d v="2023-02-15T00:00:00"/>
        <d v="2023-02-18T00:00:00"/>
        <d v="2023-02-20T00:00:00"/>
        <d v="2023-02-22T00:00:00"/>
        <d v="2023-02-24T00:00:00"/>
        <d v="2023-02-26T00:00:00"/>
        <d v="2023-03-03T00:00:00"/>
        <d v="2023-03-04T00:00:00"/>
        <d v="2023-03-05T00:00:00"/>
        <d v="2023-03-07T00:00:00"/>
        <d v="2023-03-08T00:00:00"/>
        <d v="2023-03-11T00:00:00"/>
        <d v="2023-03-14T00:00:00"/>
        <d v="2023-03-16T00:00:00"/>
        <d v="2023-03-18T00:00:00"/>
        <d v="2023-03-20T00:00:00"/>
        <d v="2023-03-22T00:00:00"/>
        <d v="2023-03-25T00:00:00"/>
        <d v="2023-03-27T00:00:00"/>
        <d v="2023-03-28T00:00:00"/>
        <d v="2023-03-30T00:00:00"/>
        <d v="2023-04-01T00:00:00"/>
        <d v="2023-04-02T00:00:00"/>
        <d v="2023-04-04T00:00:00"/>
        <d v="2023-04-06T00:00:00"/>
        <d v="2023-04-09T00:00:00"/>
        <d v="2023-04-11T00:00:00"/>
        <d v="2023-04-14T00:00:00"/>
        <d v="2023-04-15T00:00:00"/>
        <d v="2023-04-17T00:00:00"/>
        <d v="2023-04-18T00:00:00"/>
        <d v="2023-04-21T00:00:00"/>
        <d v="2023-04-22T00:00:00"/>
        <d v="2023-04-24T00:00:00"/>
        <d v="2023-04-26T00:00:00"/>
        <d v="2023-04-28T00:00:00"/>
        <m/>
        <d v="2023-01-18T00:00:00" u="1"/>
        <d v="2023-01-11T00:00:00" u="1"/>
        <d v="2023-02-16T00:00:00" u="1"/>
        <d v="2023-01-30T00:00:00" u="1"/>
        <d v="2023-01-04T00:00:00" u="1"/>
        <d v="2023-01-23T00:00:00" u="1"/>
        <d v="2023-01-16T00:00:00" u="1"/>
        <d v="2023-02-21T00:00:00" u="1"/>
        <d v="2023-01-09T00:00:00" u="1"/>
        <d v="2023-02-14T00:00:00" u="1"/>
        <d v="2023-01-28T00:00:00" u="1"/>
        <d v="2023-02-07T00:00:00" u="1"/>
        <d v="2023-01-21T00:00:00" u="1"/>
        <d v="2023-01-14T00:00:00" u="1"/>
        <d v="2023-02-19T00:00:00" u="1"/>
        <d v="2023-01-07T00:00:00" u="1"/>
        <d v="2023-02-12T00:00:00" u="1"/>
        <d v="2023-01-26T00:00:00" u="1"/>
        <d v="2023-01-19T00:00:00" u="1"/>
        <d v="2023-02-17T00:00:00" u="1"/>
        <d v="2023-01-31T00:00:00" u="1"/>
        <d v="2023-02-10T00:00:00" u="1"/>
        <d v="2023-01-24T00:00:00" u="1"/>
        <d v="2023-01-17T00:00:00" u="1"/>
        <d v="2023-01-29T00:00:00" u="1"/>
        <d v="2023-02-08T00:00:00" u="1"/>
        <d v="2023-02-01T00:00:00" u="1"/>
        <d v="2023-01-15T00:00:00" u="1"/>
        <d v="2023-01-08T00:00:00" u="1"/>
        <d v="2023-02-13T00:00:00" u="1"/>
        <d v="2023-02-06T00:00:00" u="1"/>
        <d v="2023-01-06T00:00:00" u="1"/>
        <d v="2023-02-04T00:00:00" u="1"/>
      </sharedItems>
      <fieldGroup base="0">
        <rangePr groupBy="months" startDate="2023-01-03T00:00:00" endDate="2023-04-29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-04-2023"/>
        </groupItems>
      </fieldGroup>
    </cacheField>
    <cacheField name="Region_Final" numFmtId="0">
      <sharedItems containsBlank="1"/>
    </cacheField>
    <cacheField name="Category" numFmtId="0">
      <sharedItems containsBlank="1" count="4">
        <s v="Technology"/>
        <s v="Furniture"/>
        <s v="Office Supplies"/>
        <m/>
      </sharedItems>
    </cacheField>
    <cacheField name="SubCategory" numFmtId="0">
      <sharedItems containsBlank="1" count="9">
        <s v="Laptops"/>
        <s v="Chairs"/>
        <s v="Paper"/>
        <s v="Phones"/>
        <s v="Tables"/>
        <s v="Accessories"/>
        <s v="Binders"/>
        <s v="Furnishings"/>
        <m/>
      </sharedItems>
    </cacheField>
    <cacheField name="Sales" numFmtId="0">
      <sharedItems containsString="0" containsBlank="1" containsNumber="1" containsInteger="1" minValue="150" maxValue="120000"/>
    </cacheField>
    <cacheField name="Profit" numFmtId="0">
      <sharedItems containsString="0" containsBlank="1" containsNumber="1" containsInteger="1" minValue="-5000" maxValue="9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9">
  <r>
    <d v="2023-01-03T00:00:00"/>
    <x v="0"/>
    <s v="Technology"/>
    <s v="Laptops"/>
    <n v="82000"/>
    <n v="6500"/>
  </r>
  <r>
    <d v="2023-01-04T00:00:00"/>
    <x v="0"/>
    <s v="Furniture"/>
    <s v="Chairs"/>
    <n v="12500"/>
    <n v="-1500"/>
  </r>
  <r>
    <d v="2023-01-05T00:00:00"/>
    <x v="1"/>
    <s v="Office Supplies"/>
    <s v="Paper"/>
    <n v="350"/>
    <n v="120"/>
  </r>
  <r>
    <d v="2023-01-06T00:00:00"/>
    <x v="2"/>
    <s v="Technology"/>
    <s v="Phones"/>
    <n v="120000"/>
    <n v="9000"/>
  </r>
  <r>
    <d v="2023-01-07T00:00:00"/>
    <x v="2"/>
    <s v="Furniture"/>
    <s v="Tables"/>
    <n v="18000"/>
    <n v="-2200"/>
  </r>
  <r>
    <d v="2023-01-08T00:00:00"/>
    <x v="0"/>
    <s v="Technology"/>
    <s v="Accessories"/>
    <n v="4500"/>
    <n v="900"/>
  </r>
  <r>
    <d v="2023-01-09T00:00:00"/>
    <x v="0"/>
    <s v="Office Supplies"/>
    <s v="Binders"/>
    <n v="900"/>
    <n v="100"/>
  </r>
  <r>
    <d v="2023-01-10T00:00:00"/>
    <x v="1"/>
    <s v="Furniture"/>
    <s v="Furnishings"/>
    <n v="3200"/>
    <n v="-400"/>
  </r>
  <r>
    <d v="2023-01-11T00:00:00"/>
    <x v="2"/>
    <s v="Technology"/>
    <s v="Laptops"/>
    <n v="72000"/>
    <n v="-3000"/>
  </r>
  <r>
    <d v="2023-01-12T00:00:00"/>
    <x v="0"/>
    <s v="Office Supplies"/>
    <s v="Paper"/>
    <n v="150"/>
    <n v="40"/>
  </r>
  <r>
    <d v="2023-01-13T00:00:00"/>
    <x v="0"/>
    <s v="Technology"/>
    <s v="Phones"/>
    <n v="104000"/>
    <n v="7000"/>
  </r>
  <r>
    <d v="2023-01-14T00:00:00"/>
    <x v="1"/>
    <s v="Furniture"/>
    <s v="Chairs"/>
    <n v="15000"/>
    <n v="-2500"/>
  </r>
  <r>
    <d v="2023-01-15T00:00:00"/>
    <x v="2"/>
    <s v="Technology"/>
    <s v="Accessories"/>
    <n v="6200"/>
    <n v="500"/>
  </r>
  <r>
    <d v="2023-01-16T00:00:00"/>
    <x v="0"/>
    <s v="Furniture"/>
    <s v="Tables"/>
    <n v="22000"/>
    <n v="-4000"/>
  </r>
  <r>
    <d v="2023-01-17T00:00:00"/>
    <x v="1"/>
    <s v="Office Supplies"/>
    <s v="Paper"/>
    <n v="420"/>
    <n v="160"/>
  </r>
  <r>
    <d v="2023-01-18T00:00:00"/>
    <x v="2"/>
    <s v="Technology"/>
    <s v="Phones"/>
    <n v="78000"/>
    <n v="5000"/>
  </r>
  <r>
    <d v="2023-01-19T00:00:00"/>
    <x v="0"/>
    <s v="Technology"/>
    <s v="Accessories"/>
    <n v="2500"/>
    <n v="200"/>
  </r>
  <r>
    <d v="2023-01-20T00:00:00"/>
    <x v="0"/>
    <s v="Furniture"/>
    <s v="Furnishings"/>
    <n v="1800"/>
    <n v="100"/>
  </r>
  <r>
    <d v="2023-01-21T00:00:00"/>
    <x v="1"/>
    <s v="Technology"/>
    <s v="Phones"/>
    <n v="58000"/>
    <n v="-5000"/>
  </r>
  <r>
    <d v="2023-01-22T00:00:00"/>
    <x v="0"/>
    <s v="Office Supplies"/>
    <s v="Binders"/>
    <n v="850"/>
    <n v="150"/>
  </r>
  <r>
    <d v="2023-01-23T00:00:00"/>
    <x v="2"/>
    <s v="Technology"/>
    <s v="Laptops"/>
    <n v="105000"/>
    <n v="8000"/>
  </r>
  <r>
    <d v="2023-01-24T00:00:00"/>
    <x v="0"/>
    <s v="Furniture"/>
    <s v="Chairs"/>
    <n v="1100"/>
    <n v="-200"/>
  </r>
  <r>
    <d v="2023-01-25T00:00:00"/>
    <x v="1"/>
    <s v="Technology"/>
    <s v="Accessories"/>
    <n v="5400"/>
    <n v="300"/>
  </r>
  <r>
    <d v="2023-01-26T00:00:00"/>
    <x v="0"/>
    <s v="Office Supplies"/>
    <s v="Paper"/>
    <n v="280"/>
    <n v="120"/>
  </r>
  <r>
    <d v="2023-01-27T00:00:00"/>
    <x v="2"/>
    <s v="Furniture"/>
    <s v="Tables"/>
    <n v="32000"/>
    <n v="1800"/>
  </r>
  <r>
    <d v="2023-01-28T00:00:00"/>
    <x v="0"/>
    <s v="Technology"/>
    <s v="Phones"/>
    <n v="24000"/>
    <n v="-3000"/>
  </r>
  <r>
    <d v="2023-01-29T00:00:00"/>
    <x v="1"/>
    <s v="Furniture"/>
    <s v="Chairs"/>
    <n v="17000"/>
    <n v="-2000"/>
  </r>
  <r>
    <d v="2023-01-30T00:00:00"/>
    <x v="0"/>
    <s v="Office Supplies"/>
    <s v="Binders"/>
    <n v="780"/>
    <n v="50"/>
  </r>
  <r>
    <d v="2023-01-31T00:00:00"/>
    <x v="2"/>
    <s v="Technology"/>
    <s v="Accessories"/>
    <n v="21000"/>
    <n v="1500"/>
  </r>
  <r>
    <d v="2023-02-01T00:00:00"/>
    <x v="1"/>
    <s v="Technology"/>
    <s v="Phones"/>
    <n v="41000"/>
    <n v="-2000"/>
  </r>
  <r>
    <d v="2023-02-02T00:00:00"/>
    <x v="0"/>
    <s v="Office Supplies"/>
    <s v="Paper"/>
    <n v="300"/>
    <n v="140"/>
  </r>
  <r>
    <d v="2023-02-03T00:00:00"/>
    <x v="0"/>
    <s v="Furniture"/>
    <s v="Furnishings"/>
    <n v="2200"/>
    <n v="-150"/>
  </r>
  <r>
    <d v="2023-02-04T00:00:00"/>
    <x v="2"/>
    <s v="Technology"/>
    <s v="Accessories"/>
    <n v="3200"/>
    <n v="200"/>
  </r>
  <r>
    <d v="2023-02-05T00:00:00"/>
    <x v="0"/>
    <s v="Furniture"/>
    <s v="Chairs"/>
    <n v="5200"/>
    <n v="-600"/>
  </r>
  <r>
    <d v="2023-02-06T00:00:00"/>
    <x v="1"/>
    <s v="Office Supplies"/>
    <s v="Binders"/>
    <n v="1300"/>
    <n v="-50"/>
  </r>
  <r>
    <d v="2023-02-07T00:00:00"/>
    <x v="0"/>
    <s v="Technology"/>
    <s v="Laptops"/>
    <n v="58000"/>
    <n v="-2000"/>
  </r>
  <r>
    <d v="2023-02-08T00:00:00"/>
    <x v="1"/>
    <s v="Furniture"/>
    <s v="Tables"/>
    <n v="14000"/>
    <n v="700"/>
  </r>
  <r>
    <d v="2023-02-09T00:00:00"/>
    <x v="2"/>
    <s v="Technology"/>
    <s v="Phones"/>
    <n v="65000"/>
    <n v="4500"/>
  </r>
  <r>
    <d v="2023-02-10T00:00:00"/>
    <x v="0"/>
    <s v="Office Supplies"/>
    <s v="Paper"/>
    <n v="310"/>
    <n v="80"/>
  </r>
  <r>
    <d v="2023-02-11T00:00:00"/>
    <x v="1"/>
    <s v="Furniture"/>
    <s v="Furnishings"/>
    <n v="2800"/>
    <n v="-200"/>
  </r>
  <r>
    <d v="2023-02-12T00:00:00"/>
    <x v="2"/>
    <s v="Technology"/>
    <s v="Accessories"/>
    <n v="3500"/>
    <n v="300"/>
  </r>
  <r>
    <d v="2023-02-13T00:00:00"/>
    <x v="0"/>
    <s v="Furniture"/>
    <s v="Chairs"/>
    <n v="2900"/>
    <n v="-250"/>
  </r>
  <r>
    <d v="2023-02-14T00:00:00"/>
    <x v="1"/>
    <s v="Technology"/>
    <s v="Laptops"/>
    <n v="120000"/>
    <n v="9500"/>
  </r>
  <r>
    <d v="2023-02-15T00:00:00"/>
    <x v="0"/>
    <s v="Office Supplies"/>
    <s v="Binders"/>
    <n v="600"/>
    <n v="20"/>
  </r>
  <r>
    <d v="2023-02-16T00:00:00"/>
    <x v="2"/>
    <s v="Furniture"/>
    <s v="Tables"/>
    <n v="19000"/>
    <n v="-2300"/>
  </r>
  <r>
    <d v="2023-02-17T00:00:00"/>
    <x v="2"/>
    <s v="Technology"/>
    <s v="Phones"/>
    <n v="30000"/>
    <n v="1600"/>
  </r>
  <r>
    <d v="2023-02-18T00:00:00"/>
    <x v="1"/>
    <s v="Office Supplies"/>
    <s v="Paper"/>
    <n v="250"/>
    <n v="60"/>
  </r>
  <r>
    <d v="2023-02-19T00:00:00"/>
    <x v="0"/>
    <s v="Furniture"/>
    <s v="Furnishings"/>
    <n v="3500"/>
    <n v="-100"/>
  </r>
  <r>
    <d v="2023-02-20T00:00:00"/>
    <x v="1"/>
    <s v="Technology"/>
    <s v="Accessories"/>
    <n v="4800"/>
    <n v="250"/>
  </r>
  <r>
    <d v="2023-02-21T00:00:00"/>
    <x v="0"/>
    <s v="Technology"/>
    <s v="Laptops"/>
    <n v="46000"/>
    <n v="-1500"/>
  </r>
  <r>
    <m/>
    <x v="3"/>
    <m/>
    <m/>
    <m/>
    <m/>
  </r>
  <r>
    <m/>
    <x v="3"/>
    <m/>
    <m/>
    <m/>
    <m/>
  </r>
  <r>
    <m/>
    <x v="3"/>
    <m/>
    <m/>
    <m/>
    <m/>
  </r>
  <r>
    <m/>
    <x v="3"/>
    <m/>
    <m/>
    <m/>
    <m/>
  </r>
  <r>
    <m/>
    <x v="3"/>
    <m/>
    <m/>
    <m/>
    <m/>
  </r>
  <r>
    <m/>
    <x v="3"/>
    <m/>
    <m/>
    <m/>
    <m/>
  </r>
  <r>
    <m/>
    <x v="3"/>
    <m/>
    <m/>
    <m/>
    <m/>
  </r>
  <r>
    <m/>
    <x v="3"/>
    <m/>
    <m/>
    <m/>
    <m/>
  </r>
  <r>
    <m/>
    <x v="3"/>
    <m/>
    <m/>
    <m/>
    <m/>
  </r>
  <r>
    <m/>
    <x v="3"/>
    <m/>
    <m/>
    <m/>
    <m/>
  </r>
  <r>
    <m/>
    <x v="3"/>
    <m/>
    <m/>
    <m/>
    <m/>
  </r>
  <r>
    <m/>
    <x v="3"/>
    <m/>
    <m/>
    <m/>
    <m/>
  </r>
  <r>
    <m/>
    <x v="3"/>
    <m/>
    <m/>
    <m/>
    <m/>
  </r>
  <r>
    <m/>
    <x v="3"/>
    <m/>
    <m/>
    <m/>
    <m/>
  </r>
  <r>
    <m/>
    <x v="3"/>
    <m/>
    <m/>
    <m/>
    <m/>
  </r>
  <r>
    <m/>
    <x v="3"/>
    <m/>
    <m/>
    <m/>
    <m/>
  </r>
  <r>
    <m/>
    <x v="3"/>
    <m/>
    <m/>
    <m/>
    <m/>
  </r>
  <r>
    <m/>
    <x v="3"/>
    <m/>
    <m/>
    <m/>
    <m/>
  </r>
  <r>
    <m/>
    <x v="3"/>
    <m/>
    <m/>
    <m/>
    <m/>
  </r>
  <r>
    <m/>
    <x v="3"/>
    <m/>
    <m/>
    <m/>
    <m/>
  </r>
  <r>
    <m/>
    <x v="3"/>
    <m/>
    <m/>
    <m/>
    <m/>
  </r>
  <r>
    <m/>
    <x v="3"/>
    <m/>
    <m/>
    <m/>
    <m/>
  </r>
  <r>
    <m/>
    <x v="3"/>
    <m/>
    <m/>
    <m/>
    <m/>
  </r>
  <r>
    <m/>
    <x v="3"/>
    <m/>
    <m/>
    <m/>
    <m/>
  </r>
  <r>
    <m/>
    <x v="3"/>
    <m/>
    <m/>
    <m/>
    <m/>
  </r>
  <r>
    <m/>
    <x v="3"/>
    <m/>
    <m/>
    <m/>
    <m/>
  </r>
  <r>
    <m/>
    <x v="3"/>
    <m/>
    <m/>
    <m/>
    <m/>
  </r>
  <r>
    <m/>
    <x v="3"/>
    <m/>
    <m/>
    <m/>
    <m/>
  </r>
  <r>
    <m/>
    <x v="3"/>
    <m/>
    <m/>
    <m/>
    <m/>
  </r>
  <r>
    <m/>
    <x v="3"/>
    <m/>
    <m/>
    <m/>
    <m/>
  </r>
  <r>
    <m/>
    <x v="3"/>
    <m/>
    <m/>
    <m/>
    <m/>
  </r>
  <r>
    <m/>
    <x v="3"/>
    <m/>
    <m/>
    <m/>
    <m/>
  </r>
  <r>
    <m/>
    <x v="3"/>
    <m/>
    <m/>
    <m/>
    <m/>
  </r>
  <r>
    <m/>
    <x v="3"/>
    <m/>
    <m/>
    <m/>
    <m/>
  </r>
  <r>
    <m/>
    <x v="3"/>
    <m/>
    <m/>
    <m/>
    <m/>
  </r>
  <r>
    <m/>
    <x v="3"/>
    <m/>
    <m/>
    <m/>
    <m/>
  </r>
  <r>
    <m/>
    <x v="3"/>
    <m/>
    <m/>
    <m/>
    <m/>
  </r>
  <r>
    <m/>
    <x v="3"/>
    <m/>
    <m/>
    <m/>
    <m/>
  </r>
  <r>
    <m/>
    <x v="3"/>
    <m/>
    <m/>
    <m/>
    <m/>
  </r>
  <r>
    <m/>
    <x v="3"/>
    <m/>
    <m/>
    <m/>
    <m/>
  </r>
  <r>
    <m/>
    <x v="3"/>
    <m/>
    <m/>
    <m/>
    <m/>
  </r>
  <r>
    <m/>
    <x v="3"/>
    <m/>
    <m/>
    <m/>
    <m/>
  </r>
  <r>
    <m/>
    <x v="3"/>
    <m/>
    <m/>
    <m/>
    <m/>
  </r>
  <r>
    <m/>
    <x v="3"/>
    <m/>
    <m/>
    <m/>
    <m/>
  </r>
  <r>
    <m/>
    <x v="3"/>
    <m/>
    <m/>
    <m/>
    <m/>
  </r>
  <r>
    <m/>
    <x v="3"/>
    <m/>
    <m/>
    <m/>
    <m/>
  </r>
  <r>
    <m/>
    <x v="3"/>
    <m/>
    <m/>
    <m/>
    <m/>
  </r>
  <r>
    <m/>
    <x v="3"/>
    <m/>
    <m/>
    <m/>
    <m/>
  </r>
  <r>
    <m/>
    <x v="3"/>
    <m/>
    <m/>
    <m/>
    <m/>
  </r>
  <r>
    <m/>
    <x v="3"/>
    <m/>
    <m/>
    <m/>
    <m/>
  </r>
  <r>
    <m/>
    <x v="3"/>
    <m/>
    <m/>
    <m/>
    <m/>
  </r>
  <r>
    <m/>
    <x v="3"/>
    <m/>
    <m/>
    <m/>
    <m/>
  </r>
  <r>
    <m/>
    <x v="3"/>
    <m/>
    <m/>
    <m/>
    <m/>
  </r>
  <r>
    <m/>
    <x v="3"/>
    <m/>
    <m/>
    <m/>
    <m/>
  </r>
  <r>
    <m/>
    <x v="3"/>
    <m/>
    <m/>
    <m/>
    <m/>
  </r>
  <r>
    <m/>
    <x v="3"/>
    <m/>
    <m/>
    <m/>
    <m/>
  </r>
  <r>
    <m/>
    <x v="3"/>
    <m/>
    <m/>
    <m/>
    <m/>
  </r>
  <r>
    <m/>
    <x v="3"/>
    <m/>
    <m/>
    <m/>
    <m/>
  </r>
  <r>
    <m/>
    <x v="3"/>
    <m/>
    <m/>
    <m/>
    <m/>
  </r>
  <r>
    <m/>
    <x v="3"/>
    <m/>
    <m/>
    <m/>
    <m/>
  </r>
  <r>
    <m/>
    <x v="3"/>
    <m/>
    <m/>
    <m/>
    <m/>
  </r>
  <r>
    <m/>
    <x v="3"/>
    <m/>
    <m/>
    <m/>
    <m/>
  </r>
  <r>
    <m/>
    <x v="3"/>
    <m/>
    <m/>
    <m/>
    <m/>
  </r>
  <r>
    <m/>
    <x v="3"/>
    <m/>
    <m/>
    <m/>
    <m/>
  </r>
  <r>
    <m/>
    <x v="3"/>
    <m/>
    <m/>
    <m/>
    <m/>
  </r>
  <r>
    <m/>
    <x v="3"/>
    <m/>
    <m/>
    <m/>
    <m/>
  </r>
  <r>
    <m/>
    <x v="3"/>
    <m/>
    <m/>
    <m/>
    <m/>
  </r>
  <r>
    <m/>
    <x v="3"/>
    <m/>
    <m/>
    <m/>
    <m/>
  </r>
  <r>
    <m/>
    <x v="3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20">
  <r>
    <x v="0"/>
    <s v="APAC"/>
    <x v="0"/>
    <x v="0"/>
    <n v="82000"/>
    <n v="6500"/>
  </r>
  <r>
    <x v="1"/>
    <s v="APAC"/>
    <x v="1"/>
    <x v="1"/>
    <n v="12500"/>
    <n v="-1500"/>
  </r>
  <r>
    <x v="2"/>
    <s v="Europe"/>
    <x v="2"/>
    <x v="2"/>
    <n v="350"/>
    <n v="120"/>
  </r>
  <r>
    <x v="3"/>
    <s v="US"/>
    <x v="0"/>
    <x v="3"/>
    <n v="120000"/>
    <n v="9000"/>
  </r>
  <r>
    <x v="4"/>
    <s v="US"/>
    <x v="1"/>
    <x v="4"/>
    <n v="18000"/>
    <n v="-2200"/>
  </r>
  <r>
    <x v="5"/>
    <s v="APAC"/>
    <x v="0"/>
    <x v="5"/>
    <n v="4500"/>
    <n v="900"/>
  </r>
  <r>
    <x v="6"/>
    <s v="APAC"/>
    <x v="2"/>
    <x v="6"/>
    <n v="900"/>
    <n v="100"/>
  </r>
  <r>
    <x v="7"/>
    <s v="Europe"/>
    <x v="1"/>
    <x v="7"/>
    <n v="3200"/>
    <n v="-400"/>
  </r>
  <r>
    <x v="8"/>
    <s v="US"/>
    <x v="0"/>
    <x v="0"/>
    <n v="72000"/>
    <n v="-3000"/>
  </r>
  <r>
    <x v="9"/>
    <s v="APAC"/>
    <x v="2"/>
    <x v="2"/>
    <n v="150"/>
    <n v="40"/>
  </r>
  <r>
    <x v="10"/>
    <s v="APAC"/>
    <x v="0"/>
    <x v="3"/>
    <n v="104000"/>
    <n v="7000"/>
  </r>
  <r>
    <x v="11"/>
    <s v="Europe"/>
    <x v="1"/>
    <x v="1"/>
    <n v="15000"/>
    <n v="-2500"/>
  </r>
  <r>
    <x v="12"/>
    <s v="US"/>
    <x v="0"/>
    <x v="5"/>
    <n v="6200"/>
    <n v="500"/>
  </r>
  <r>
    <x v="13"/>
    <s v="APAC"/>
    <x v="1"/>
    <x v="4"/>
    <n v="22000"/>
    <n v="-4000"/>
  </r>
  <r>
    <x v="14"/>
    <s v="Europe"/>
    <x v="2"/>
    <x v="2"/>
    <n v="420"/>
    <n v="160"/>
  </r>
  <r>
    <x v="15"/>
    <s v="US"/>
    <x v="0"/>
    <x v="3"/>
    <n v="78000"/>
    <n v="5000"/>
  </r>
  <r>
    <x v="16"/>
    <s v="APAC"/>
    <x v="0"/>
    <x v="5"/>
    <n v="2500"/>
    <n v="200"/>
  </r>
  <r>
    <x v="17"/>
    <s v="APAC"/>
    <x v="1"/>
    <x v="7"/>
    <n v="1800"/>
    <n v="100"/>
  </r>
  <r>
    <x v="18"/>
    <s v="Europe"/>
    <x v="0"/>
    <x v="3"/>
    <n v="58000"/>
    <n v="-5000"/>
  </r>
  <r>
    <x v="19"/>
    <s v="APAC"/>
    <x v="2"/>
    <x v="6"/>
    <n v="850"/>
    <n v="150"/>
  </r>
  <r>
    <x v="20"/>
    <s v="US"/>
    <x v="0"/>
    <x v="0"/>
    <n v="105000"/>
    <n v="8000"/>
  </r>
  <r>
    <x v="21"/>
    <s v="APAC"/>
    <x v="1"/>
    <x v="1"/>
    <n v="1100"/>
    <n v="-200"/>
  </r>
  <r>
    <x v="22"/>
    <s v="Europe"/>
    <x v="0"/>
    <x v="5"/>
    <n v="5400"/>
    <n v="300"/>
  </r>
  <r>
    <x v="23"/>
    <s v="APAC"/>
    <x v="2"/>
    <x v="2"/>
    <n v="280"/>
    <n v="120"/>
  </r>
  <r>
    <x v="24"/>
    <s v="US"/>
    <x v="1"/>
    <x v="4"/>
    <n v="32000"/>
    <n v="1800"/>
  </r>
  <r>
    <x v="25"/>
    <s v="APAC"/>
    <x v="0"/>
    <x v="3"/>
    <n v="24000"/>
    <n v="-3000"/>
  </r>
  <r>
    <x v="26"/>
    <s v="Europe"/>
    <x v="1"/>
    <x v="1"/>
    <n v="17000"/>
    <n v="-2000"/>
  </r>
  <r>
    <x v="27"/>
    <s v="APAC"/>
    <x v="2"/>
    <x v="6"/>
    <n v="780"/>
    <n v="50"/>
  </r>
  <r>
    <x v="28"/>
    <s v="US"/>
    <x v="0"/>
    <x v="5"/>
    <n v="21000"/>
    <n v="1500"/>
  </r>
  <r>
    <x v="29"/>
    <s v="Europe"/>
    <x v="0"/>
    <x v="3"/>
    <n v="41000"/>
    <n v="-2000"/>
  </r>
  <r>
    <x v="30"/>
    <s v="APAC"/>
    <x v="2"/>
    <x v="2"/>
    <n v="300"/>
    <n v="140"/>
  </r>
  <r>
    <x v="31"/>
    <s v="APAC"/>
    <x v="1"/>
    <x v="7"/>
    <n v="2200"/>
    <n v="-150"/>
  </r>
  <r>
    <x v="32"/>
    <s v="US"/>
    <x v="0"/>
    <x v="5"/>
    <n v="3200"/>
    <n v="200"/>
  </r>
  <r>
    <x v="33"/>
    <s v="APAC"/>
    <x v="1"/>
    <x v="1"/>
    <n v="5200"/>
    <n v="-600"/>
  </r>
  <r>
    <x v="34"/>
    <s v="Europe"/>
    <x v="2"/>
    <x v="6"/>
    <n v="1300"/>
    <n v="-50"/>
  </r>
  <r>
    <x v="35"/>
    <s v="APAC"/>
    <x v="0"/>
    <x v="0"/>
    <n v="58000"/>
    <n v="-2000"/>
  </r>
  <r>
    <x v="36"/>
    <s v="Europe"/>
    <x v="1"/>
    <x v="4"/>
    <n v="14000"/>
    <n v="700"/>
  </r>
  <r>
    <x v="37"/>
    <s v="US"/>
    <x v="0"/>
    <x v="3"/>
    <n v="65000"/>
    <n v="4500"/>
  </r>
  <r>
    <x v="38"/>
    <s v="APAC"/>
    <x v="2"/>
    <x v="2"/>
    <n v="310"/>
    <n v="80"/>
  </r>
  <r>
    <x v="39"/>
    <s v="Europe"/>
    <x v="1"/>
    <x v="7"/>
    <n v="2800"/>
    <n v="-200"/>
  </r>
  <r>
    <x v="40"/>
    <s v="US"/>
    <x v="0"/>
    <x v="5"/>
    <n v="3500"/>
    <n v="300"/>
  </r>
  <r>
    <x v="41"/>
    <s v="APAC"/>
    <x v="1"/>
    <x v="1"/>
    <n v="2900"/>
    <n v="-250"/>
  </r>
  <r>
    <x v="42"/>
    <s v="Europe"/>
    <x v="0"/>
    <x v="0"/>
    <n v="120000"/>
    <n v="9500"/>
  </r>
  <r>
    <x v="43"/>
    <s v="APAC"/>
    <x v="2"/>
    <x v="6"/>
    <n v="600"/>
    <n v="20"/>
  </r>
  <r>
    <x v="44"/>
    <s v="US"/>
    <x v="1"/>
    <x v="4"/>
    <n v="19000"/>
    <n v="-2300"/>
  </r>
  <r>
    <x v="45"/>
    <s v="US"/>
    <x v="0"/>
    <x v="3"/>
    <n v="30000"/>
    <n v="1600"/>
  </r>
  <r>
    <x v="46"/>
    <s v="Europe"/>
    <x v="2"/>
    <x v="2"/>
    <n v="250"/>
    <n v="60"/>
  </r>
  <r>
    <x v="47"/>
    <s v="APAC"/>
    <x v="1"/>
    <x v="7"/>
    <n v="3500"/>
    <n v="-100"/>
  </r>
  <r>
    <x v="48"/>
    <s v="Europe"/>
    <x v="0"/>
    <x v="5"/>
    <n v="4800"/>
    <n v="250"/>
  </r>
  <r>
    <x v="49"/>
    <s v="APAC"/>
    <x v="0"/>
    <x v="0"/>
    <n v="46000"/>
    <n v="-1500"/>
  </r>
  <r>
    <x v="50"/>
    <m/>
    <x v="3"/>
    <x v="8"/>
    <m/>
    <m/>
  </r>
  <r>
    <x v="50"/>
    <m/>
    <x v="3"/>
    <x v="8"/>
    <m/>
    <m/>
  </r>
  <r>
    <x v="50"/>
    <m/>
    <x v="3"/>
    <x v="8"/>
    <m/>
    <m/>
  </r>
  <r>
    <x v="50"/>
    <m/>
    <x v="3"/>
    <x v="8"/>
    <m/>
    <m/>
  </r>
  <r>
    <x v="50"/>
    <m/>
    <x v="3"/>
    <x v="8"/>
    <m/>
    <m/>
  </r>
  <r>
    <x v="50"/>
    <m/>
    <x v="3"/>
    <x v="8"/>
    <m/>
    <m/>
  </r>
  <r>
    <x v="50"/>
    <m/>
    <x v="3"/>
    <x v="8"/>
    <m/>
    <m/>
  </r>
  <r>
    <x v="50"/>
    <m/>
    <x v="3"/>
    <x v="8"/>
    <m/>
    <m/>
  </r>
  <r>
    <x v="50"/>
    <m/>
    <x v="3"/>
    <x v="8"/>
    <m/>
    <m/>
  </r>
  <r>
    <x v="50"/>
    <m/>
    <x v="3"/>
    <x v="8"/>
    <m/>
    <m/>
  </r>
  <r>
    <x v="50"/>
    <m/>
    <x v="3"/>
    <x v="8"/>
    <m/>
    <m/>
  </r>
  <r>
    <x v="50"/>
    <m/>
    <x v="3"/>
    <x v="8"/>
    <m/>
    <m/>
  </r>
  <r>
    <x v="50"/>
    <m/>
    <x v="3"/>
    <x v="8"/>
    <m/>
    <m/>
  </r>
  <r>
    <x v="50"/>
    <m/>
    <x v="3"/>
    <x v="8"/>
    <m/>
    <m/>
  </r>
  <r>
    <x v="50"/>
    <m/>
    <x v="3"/>
    <x v="8"/>
    <m/>
    <m/>
  </r>
  <r>
    <x v="50"/>
    <m/>
    <x v="3"/>
    <x v="8"/>
    <m/>
    <m/>
  </r>
  <r>
    <x v="50"/>
    <m/>
    <x v="3"/>
    <x v="8"/>
    <m/>
    <m/>
  </r>
  <r>
    <x v="50"/>
    <m/>
    <x v="3"/>
    <x v="8"/>
    <m/>
    <m/>
  </r>
  <r>
    <x v="50"/>
    <m/>
    <x v="3"/>
    <x v="8"/>
    <m/>
    <m/>
  </r>
  <r>
    <x v="50"/>
    <m/>
    <x v="3"/>
    <x v="8"/>
    <m/>
    <m/>
  </r>
  <r>
    <x v="50"/>
    <m/>
    <x v="3"/>
    <x v="8"/>
    <m/>
    <m/>
  </r>
  <r>
    <x v="50"/>
    <m/>
    <x v="3"/>
    <x v="8"/>
    <m/>
    <m/>
  </r>
  <r>
    <x v="50"/>
    <m/>
    <x v="3"/>
    <x v="8"/>
    <m/>
    <m/>
  </r>
  <r>
    <x v="50"/>
    <m/>
    <x v="3"/>
    <x v="8"/>
    <m/>
    <m/>
  </r>
  <r>
    <x v="50"/>
    <m/>
    <x v="3"/>
    <x v="8"/>
    <m/>
    <m/>
  </r>
  <r>
    <x v="50"/>
    <m/>
    <x v="3"/>
    <x v="8"/>
    <m/>
    <m/>
  </r>
  <r>
    <x v="50"/>
    <m/>
    <x v="3"/>
    <x v="8"/>
    <m/>
    <m/>
  </r>
  <r>
    <x v="50"/>
    <m/>
    <x v="3"/>
    <x v="8"/>
    <m/>
    <m/>
  </r>
  <r>
    <x v="50"/>
    <m/>
    <x v="3"/>
    <x v="8"/>
    <m/>
    <m/>
  </r>
  <r>
    <x v="50"/>
    <m/>
    <x v="3"/>
    <x v="8"/>
    <m/>
    <m/>
  </r>
  <r>
    <x v="50"/>
    <m/>
    <x v="3"/>
    <x v="8"/>
    <m/>
    <m/>
  </r>
  <r>
    <x v="50"/>
    <m/>
    <x v="3"/>
    <x v="8"/>
    <m/>
    <m/>
  </r>
  <r>
    <x v="50"/>
    <m/>
    <x v="3"/>
    <x v="8"/>
    <m/>
    <m/>
  </r>
  <r>
    <x v="50"/>
    <m/>
    <x v="3"/>
    <x v="8"/>
    <m/>
    <m/>
  </r>
  <r>
    <x v="50"/>
    <m/>
    <x v="3"/>
    <x v="8"/>
    <m/>
    <m/>
  </r>
  <r>
    <x v="50"/>
    <m/>
    <x v="3"/>
    <x v="8"/>
    <m/>
    <m/>
  </r>
  <r>
    <x v="50"/>
    <m/>
    <x v="3"/>
    <x v="8"/>
    <m/>
    <m/>
  </r>
  <r>
    <x v="50"/>
    <m/>
    <x v="3"/>
    <x v="8"/>
    <m/>
    <m/>
  </r>
  <r>
    <x v="50"/>
    <m/>
    <x v="3"/>
    <x v="8"/>
    <m/>
    <m/>
  </r>
  <r>
    <x v="50"/>
    <m/>
    <x v="3"/>
    <x v="8"/>
    <m/>
    <m/>
  </r>
  <r>
    <x v="50"/>
    <m/>
    <x v="3"/>
    <x v="8"/>
    <m/>
    <m/>
  </r>
  <r>
    <x v="50"/>
    <m/>
    <x v="3"/>
    <x v="8"/>
    <m/>
    <m/>
  </r>
  <r>
    <x v="50"/>
    <m/>
    <x v="3"/>
    <x v="8"/>
    <m/>
    <m/>
  </r>
  <r>
    <x v="50"/>
    <m/>
    <x v="3"/>
    <x v="8"/>
    <m/>
    <m/>
  </r>
  <r>
    <x v="50"/>
    <m/>
    <x v="3"/>
    <x v="8"/>
    <m/>
    <m/>
  </r>
  <r>
    <x v="50"/>
    <m/>
    <x v="3"/>
    <x v="8"/>
    <m/>
    <m/>
  </r>
  <r>
    <x v="50"/>
    <m/>
    <x v="3"/>
    <x v="8"/>
    <m/>
    <m/>
  </r>
  <r>
    <x v="50"/>
    <m/>
    <x v="3"/>
    <x v="8"/>
    <m/>
    <m/>
  </r>
  <r>
    <x v="50"/>
    <m/>
    <x v="3"/>
    <x v="8"/>
    <m/>
    <m/>
  </r>
  <r>
    <x v="50"/>
    <m/>
    <x v="3"/>
    <x v="8"/>
    <m/>
    <m/>
  </r>
  <r>
    <x v="50"/>
    <m/>
    <x v="3"/>
    <x v="8"/>
    <m/>
    <m/>
  </r>
  <r>
    <x v="50"/>
    <m/>
    <x v="3"/>
    <x v="8"/>
    <m/>
    <m/>
  </r>
  <r>
    <x v="50"/>
    <m/>
    <x v="3"/>
    <x v="8"/>
    <m/>
    <m/>
  </r>
  <r>
    <x v="50"/>
    <m/>
    <x v="3"/>
    <x v="8"/>
    <m/>
    <m/>
  </r>
  <r>
    <x v="50"/>
    <m/>
    <x v="3"/>
    <x v="8"/>
    <m/>
    <m/>
  </r>
  <r>
    <x v="50"/>
    <m/>
    <x v="3"/>
    <x v="8"/>
    <m/>
    <m/>
  </r>
  <r>
    <x v="50"/>
    <m/>
    <x v="3"/>
    <x v="8"/>
    <m/>
    <m/>
  </r>
  <r>
    <x v="50"/>
    <m/>
    <x v="3"/>
    <x v="8"/>
    <m/>
    <m/>
  </r>
  <r>
    <x v="50"/>
    <m/>
    <x v="3"/>
    <x v="8"/>
    <m/>
    <m/>
  </r>
  <r>
    <x v="50"/>
    <m/>
    <x v="3"/>
    <x v="8"/>
    <m/>
    <m/>
  </r>
  <r>
    <x v="50"/>
    <m/>
    <x v="3"/>
    <x v="8"/>
    <m/>
    <m/>
  </r>
  <r>
    <x v="50"/>
    <m/>
    <x v="3"/>
    <x v="8"/>
    <m/>
    <m/>
  </r>
  <r>
    <x v="50"/>
    <m/>
    <x v="3"/>
    <x v="8"/>
    <m/>
    <m/>
  </r>
  <r>
    <x v="50"/>
    <m/>
    <x v="3"/>
    <x v="8"/>
    <m/>
    <m/>
  </r>
  <r>
    <x v="50"/>
    <m/>
    <x v="3"/>
    <x v="8"/>
    <m/>
    <m/>
  </r>
  <r>
    <x v="50"/>
    <m/>
    <x v="3"/>
    <x v="8"/>
    <m/>
    <m/>
  </r>
  <r>
    <x v="50"/>
    <m/>
    <x v="3"/>
    <x v="8"/>
    <m/>
    <m/>
  </r>
  <r>
    <x v="50"/>
    <m/>
    <x v="3"/>
    <x v="8"/>
    <m/>
    <m/>
  </r>
  <r>
    <x v="50"/>
    <m/>
    <x v="3"/>
    <x v="8"/>
    <m/>
    <m/>
  </r>
  <r>
    <x v="50"/>
    <m/>
    <x v="3"/>
    <x v="8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3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G28:H34" firstHeaderRow="1" firstDataRow="1" firstDataCol="1"/>
  <pivotFields count="6"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G10:I24" firstHeaderRow="0" firstDataRow="1" firstDataCol="1"/>
  <pivotFields count="6"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5">
        <item x="1"/>
        <item x="2"/>
        <item x="0"/>
        <item x="3"/>
        <item t="default"/>
      </items>
    </pivotField>
    <pivotField axis="axisRow" showAll="0">
      <items count="10">
        <item x="5"/>
        <item x="6"/>
        <item x="1"/>
        <item x="7"/>
        <item x="0"/>
        <item x="2"/>
        <item x="3"/>
        <item x="4"/>
        <item x="8"/>
        <item t="default"/>
      </items>
    </pivotField>
    <pivotField dataField="1" showAll="0"/>
    <pivotField dataField="1" showAll="0"/>
  </pivotFields>
  <rowFields count="2">
    <field x="2"/>
    <field x="3"/>
  </rowFields>
  <rowItems count="14">
    <i>
      <x/>
    </i>
    <i r="1">
      <x v="2"/>
    </i>
    <i r="1">
      <x v="3"/>
    </i>
    <i r="1">
      <x v="7"/>
    </i>
    <i>
      <x v="1"/>
    </i>
    <i r="1">
      <x v="1"/>
    </i>
    <i r="1">
      <x v="5"/>
    </i>
    <i>
      <x v="2"/>
    </i>
    <i r="1">
      <x/>
    </i>
    <i r="1">
      <x v="4"/>
    </i>
    <i r="1">
      <x v="6"/>
    </i>
    <i>
      <x v="3"/>
    </i>
    <i r="1"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4" baseField="2" baseItem="0"/>
    <dataField name="Sum of Profit" fld="5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G2:I6" firstHeaderRow="0" firstDataRow="1" firstDataCol="1"/>
  <pivotFields count="6">
    <pivotField showAll="0"/>
    <pivotField axis="axisRow" showAll="0">
      <items count="5">
        <item x="0"/>
        <item x="1"/>
        <item h="1" x="3"/>
        <item x="2"/>
        <item t="default"/>
      </items>
    </pivotField>
    <pivotField showAll="0"/>
    <pivotField showAll="0"/>
    <pivotField dataField="1" showAll="0"/>
    <pivotField dataField="1" showAll="0"/>
  </pivotFields>
  <rowFields count="1">
    <field x="1"/>
  </rowFields>
  <rowItems count="4">
    <i>
      <x/>
    </i>
    <i>
      <x v="1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4" baseField="1" baseItem="0"/>
    <dataField name="Sum of Profit" fld="5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:C11" firstHeaderRow="0" firstDataRow="1" firstDataCol="1"/>
  <pivotFields count="6">
    <pivotField showAll="0"/>
    <pivotField showAll="0"/>
    <pivotField showAll="0"/>
    <pivotField axis="axisRow" showAll="0" sortType="descending">
      <items count="10">
        <item x="5"/>
        <item x="6"/>
        <item x="1"/>
        <item x="7"/>
        <item x="0"/>
        <item x="2"/>
        <item x="3"/>
        <item x="4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dataField="1" showAll="0"/>
  </pivotFields>
  <rowFields count="1">
    <field x="3"/>
  </rowFields>
  <rowItems count="10">
    <i>
      <x v="4"/>
    </i>
    <i>
      <x v="6"/>
    </i>
    <i>
      <x/>
    </i>
    <i>
      <x v="5"/>
    </i>
    <i>
      <x v="1"/>
    </i>
    <i>
      <x v="8"/>
    </i>
    <i>
      <x v="3"/>
    </i>
    <i>
      <x v="7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5" baseField="3" baseItem="0"/>
    <dataField name="Sum of Sales" fld="4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Views>
    <sheetView topLeftCell="A44" workbookViewId="0">
      <selection activeCell="C59" activeCellId="1" sqref="B65 C59"/>
    </sheetView>
  </sheetViews>
  <sheetFormatPr defaultColWidth="15.28515625" defaultRowHeight="15" x14ac:dyDescent="0.25"/>
  <sheetData>
    <row r="1" spans="1:1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t="s">
        <v>18</v>
      </c>
      <c r="B2" s="1">
        <v>44929</v>
      </c>
      <c r="C2" s="1">
        <v>44934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>
        <v>82000</v>
      </c>
      <c r="L2">
        <v>1</v>
      </c>
      <c r="M2">
        <v>0.1</v>
      </c>
      <c r="N2">
        <v>6500</v>
      </c>
      <c r="O2" t="s">
        <v>26</v>
      </c>
      <c r="P2" t="s">
        <v>27</v>
      </c>
      <c r="Q2" t="s">
        <v>28</v>
      </c>
      <c r="R2" t="s">
        <v>29</v>
      </c>
    </row>
    <row r="3" spans="1:18" x14ac:dyDescent="0.25">
      <c r="A3" t="s">
        <v>30</v>
      </c>
      <c r="B3" s="1">
        <v>44931</v>
      </c>
      <c r="C3" s="1">
        <v>44937</v>
      </c>
      <c r="D3" t="s">
        <v>19</v>
      </c>
      <c r="E3" t="s">
        <v>20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>
        <v>12500</v>
      </c>
      <c r="L3">
        <v>2</v>
      </c>
      <c r="M3">
        <v>0.2</v>
      </c>
      <c r="N3">
        <v>-1500</v>
      </c>
      <c r="O3" t="s">
        <v>36</v>
      </c>
      <c r="P3" t="s">
        <v>37</v>
      </c>
      <c r="Q3" t="s">
        <v>38</v>
      </c>
      <c r="R3" t="s">
        <v>29</v>
      </c>
    </row>
    <row r="4" spans="1:18" x14ac:dyDescent="0.25">
      <c r="A4" t="s">
        <v>39</v>
      </c>
      <c r="B4" s="1">
        <v>44936</v>
      </c>
      <c r="C4" s="1">
        <v>44941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>
        <v>350</v>
      </c>
      <c r="L4">
        <v>5</v>
      </c>
      <c r="M4">
        <v>0</v>
      </c>
      <c r="N4">
        <v>120</v>
      </c>
      <c r="O4" t="s">
        <v>47</v>
      </c>
      <c r="P4" t="s">
        <v>48</v>
      </c>
      <c r="Q4" t="s">
        <v>49</v>
      </c>
      <c r="R4" t="s">
        <v>50</v>
      </c>
    </row>
    <row r="5" spans="1:18" x14ac:dyDescent="0.25">
      <c r="A5" t="s">
        <v>51</v>
      </c>
      <c r="B5" s="1">
        <v>44938</v>
      </c>
      <c r="C5" s="1">
        <v>44943</v>
      </c>
      <c r="D5" t="s">
        <v>52</v>
      </c>
      <c r="E5" t="s">
        <v>53</v>
      </c>
      <c r="F5" t="s">
        <v>54</v>
      </c>
      <c r="G5" t="s">
        <v>54</v>
      </c>
      <c r="H5" t="s">
        <v>23</v>
      </c>
      <c r="I5" t="s">
        <v>55</v>
      </c>
      <c r="J5" t="s">
        <v>56</v>
      </c>
      <c r="K5">
        <v>120000</v>
      </c>
      <c r="L5">
        <v>1</v>
      </c>
      <c r="M5">
        <v>0.05</v>
      </c>
      <c r="N5">
        <v>9000</v>
      </c>
      <c r="O5" t="s">
        <v>57</v>
      </c>
      <c r="P5" t="s">
        <v>58</v>
      </c>
      <c r="Q5" t="s">
        <v>28</v>
      </c>
      <c r="R5" t="s">
        <v>59</v>
      </c>
    </row>
    <row r="6" spans="1:18" x14ac:dyDescent="0.25">
      <c r="A6" t="s">
        <v>60</v>
      </c>
      <c r="B6" s="1">
        <v>44939</v>
      </c>
      <c r="C6" s="1">
        <v>44944</v>
      </c>
      <c r="D6" t="s">
        <v>52</v>
      </c>
      <c r="E6" t="s">
        <v>53</v>
      </c>
      <c r="F6" t="s">
        <v>61</v>
      </c>
      <c r="G6" t="s">
        <v>62</v>
      </c>
      <c r="H6" t="s">
        <v>33</v>
      </c>
      <c r="I6" t="s">
        <v>63</v>
      </c>
      <c r="J6" t="s">
        <v>64</v>
      </c>
      <c r="K6">
        <v>18000</v>
      </c>
      <c r="L6">
        <v>1</v>
      </c>
      <c r="M6">
        <v>0.25</v>
      </c>
      <c r="N6">
        <v>-2200</v>
      </c>
      <c r="O6" t="s">
        <v>65</v>
      </c>
      <c r="P6" t="s">
        <v>66</v>
      </c>
      <c r="Q6" t="s">
        <v>38</v>
      </c>
      <c r="R6" t="s">
        <v>29</v>
      </c>
    </row>
    <row r="7" spans="1:18" x14ac:dyDescent="0.25">
      <c r="A7" t="s">
        <v>67</v>
      </c>
      <c r="B7" s="1">
        <v>44946</v>
      </c>
      <c r="C7" s="1">
        <v>44951</v>
      </c>
      <c r="D7" t="s">
        <v>19</v>
      </c>
      <c r="E7" t="s">
        <v>20</v>
      </c>
      <c r="F7" t="s">
        <v>68</v>
      </c>
      <c r="G7" t="s">
        <v>68</v>
      </c>
      <c r="H7" t="s">
        <v>23</v>
      </c>
      <c r="I7" t="s">
        <v>69</v>
      </c>
      <c r="J7" t="s">
        <v>70</v>
      </c>
      <c r="K7">
        <v>4500</v>
      </c>
      <c r="L7">
        <v>1</v>
      </c>
      <c r="M7">
        <v>0</v>
      </c>
      <c r="N7">
        <v>900</v>
      </c>
      <c r="O7" t="s">
        <v>71</v>
      </c>
      <c r="P7" t="s">
        <v>72</v>
      </c>
      <c r="Q7" t="s">
        <v>38</v>
      </c>
      <c r="R7" t="s">
        <v>50</v>
      </c>
    </row>
    <row r="8" spans="1:18" x14ac:dyDescent="0.25">
      <c r="A8" t="s">
        <v>73</v>
      </c>
      <c r="B8" s="1">
        <v>44948</v>
      </c>
      <c r="C8" s="1">
        <v>44952</v>
      </c>
      <c r="D8" t="s">
        <v>19</v>
      </c>
      <c r="E8" t="s">
        <v>20</v>
      </c>
      <c r="F8" t="s">
        <v>74</v>
      </c>
      <c r="G8" t="s">
        <v>75</v>
      </c>
      <c r="H8" t="s">
        <v>44</v>
      </c>
      <c r="I8" t="s">
        <v>76</v>
      </c>
      <c r="J8" t="s">
        <v>77</v>
      </c>
      <c r="K8">
        <v>900</v>
      </c>
      <c r="L8">
        <v>3</v>
      </c>
      <c r="M8">
        <v>0.1</v>
      </c>
      <c r="N8">
        <v>100</v>
      </c>
      <c r="O8" t="s">
        <v>78</v>
      </c>
      <c r="P8" t="s">
        <v>79</v>
      </c>
      <c r="Q8" t="s">
        <v>49</v>
      </c>
      <c r="R8" t="s">
        <v>29</v>
      </c>
    </row>
    <row r="9" spans="1:18" x14ac:dyDescent="0.25">
      <c r="A9" t="s">
        <v>80</v>
      </c>
      <c r="B9" s="1">
        <v>44951</v>
      </c>
      <c r="C9" s="1">
        <v>44956</v>
      </c>
      <c r="D9" t="s">
        <v>40</v>
      </c>
      <c r="E9" t="s">
        <v>81</v>
      </c>
      <c r="F9" t="s">
        <v>82</v>
      </c>
      <c r="G9" t="s">
        <v>83</v>
      </c>
      <c r="H9" t="s">
        <v>33</v>
      </c>
      <c r="I9" t="s">
        <v>84</v>
      </c>
      <c r="J9" t="s">
        <v>85</v>
      </c>
      <c r="K9">
        <v>3200</v>
      </c>
      <c r="L9">
        <v>2</v>
      </c>
      <c r="M9">
        <v>0.15</v>
      </c>
      <c r="N9">
        <v>-400</v>
      </c>
      <c r="O9" t="s">
        <v>86</v>
      </c>
      <c r="P9" t="s">
        <v>87</v>
      </c>
      <c r="Q9" t="s">
        <v>38</v>
      </c>
      <c r="R9" t="s">
        <v>50</v>
      </c>
    </row>
    <row r="10" spans="1:18" x14ac:dyDescent="0.25">
      <c r="A10" t="s">
        <v>88</v>
      </c>
      <c r="B10" s="1">
        <v>44953</v>
      </c>
      <c r="C10" s="1">
        <v>44958</v>
      </c>
      <c r="D10" t="s">
        <v>52</v>
      </c>
      <c r="E10" t="s">
        <v>53</v>
      </c>
      <c r="F10" t="s">
        <v>89</v>
      </c>
      <c r="G10" t="s">
        <v>90</v>
      </c>
      <c r="H10" t="s">
        <v>23</v>
      </c>
      <c r="I10" t="s">
        <v>24</v>
      </c>
      <c r="J10" t="s">
        <v>91</v>
      </c>
      <c r="K10">
        <v>72000</v>
      </c>
      <c r="L10">
        <v>1</v>
      </c>
      <c r="M10">
        <v>0.2</v>
      </c>
      <c r="N10">
        <v>-3000</v>
      </c>
      <c r="O10" t="s">
        <v>92</v>
      </c>
      <c r="P10" t="s">
        <v>93</v>
      </c>
      <c r="Q10" t="s">
        <v>28</v>
      </c>
      <c r="R10" t="s">
        <v>29</v>
      </c>
    </row>
    <row r="11" spans="1:18" x14ac:dyDescent="0.25">
      <c r="A11" t="s">
        <v>94</v>
      </c>
      <c r="B11" s="1">
        <v>44959</v>
      </c>
      <c r="C11" s="1">
        <v>44963</v>
      </c>
      <c r="D11" t="s">
        <v>19</v>
      </c>
      <c r="E11" t="s">
        <v>20</v>
      </c>
      <c r="F11" t="s">
        <v>95</v>
      </c>
      <c r="G11" t="s">
        <v>96</v>
      </c>
      <c r="H11" t="s">
        <v>44</v>
      </c>
      <c r="I11" t="s">
        <v>45</v>
      </c>
      <c r="J11" t="s">
        <v>97</v>
      </c>
      <c r="K11">
        <v>150</v>
      </c>
      <c r="L11">
        <v>2</v>
      </c>
      <c r="M11">
        <v>0</v>
      </c>
      <c r="N11">
        <v>40</v>
      </c>
      <c r="O11" t="s">
        <v>98</v>
      </c>
      <c r="P11" t="s">
        <v>99</v>
      </c>
      <c r="Q11" t="s">
        <v>38</v>
      </c>
      <c r="R11" t="s">
        <v>50</v>
      </c>
    </row>
    <row r="12" spans="1:18" x14ac:dyDescent="0.25">
      <c r="A12" t="s">
        <v>100</v>
      </c>
      <c r="B12" s="1">
        <v>44960</v>
      </c>
      <c r="C12" s="1">
        <v>44965</v>
      </c>
      <c r="D12" t="s">
        <v>19</v>
      </c>
      <c r="E12" t="s">
        <v>20</v>
      </c>
      <c r="F12" t="s">
        <v>21</v>
      </c>
      <c r="G12" t="s">
        <v>101</v>
      </c>
      <c r="H12" t="s">
        <v>23</v>
      </c>
      <c r="I12" t="s">
        <v>55</v>
      </c>
      <c r="J12" t="s">
        <v>102</v>
      </c>
      <c r="K12">
        <v>104000</v>
      </c>
      <c r="L12">
        <v>1</v>
      </c>
      <c r="M12">
        <v>0.1</v>
      </c>
      <c r="N12">
        <v>7000</v>
      </c>
      <c r="O12" t="s">
        <v>103</v>
      </c>
      <c r="P12" t="s">
        <v>104</v>
      </c>
      <c r="Q12" t="s">
        <v>49</v>
      </c>
      <c r="R12" t="s">
        <v>50</v>
      </c>
    </row>
    <row r="13" spans="1:18" x14ac:dyDescent="0.25">
      <c r="A13" t="s">
        <v>105</v>
      </c>
      <c r="B13" s="1">
        <v>44962</v>
      </c>
      <c r="C13" s="1">
        <v>44967</v>
      </c>
      <c r="D13" t="s">
        <v>40</v>
      </c>
      <c r="E13" t="s">
        <v>106</v>
      </c>
      <c r="F13" t="s">
        <v>107</v>
      </c>
      <c r="G13" t="s">
        <v>108</v>
      </c>
      <c r="H13" t="s">
        <v>33</v>
      </c>
      <c r="I13" t="s">
        <v>34</v>
      </c>
      <c r="J13" t="s">
        <v>109</v>
      </c>
      <c r="K13">
        <v>15000</v>
      </c>
      <c r="L13">
        <v>1</v>
      </c>
      <c r="M13">
        <v>0.2</v>
      </c>
      <c r="N13">
        <v>-2500</v>
      </c>
      <c r="O13" t="s">
        <v>110</v>
      </c>
      <c r="P13" t="s">
        <v>111</v>
      </c>
      <c r="Q13" t="s">
        <v>38</v>
      </c>
      <c r="R13" t="s">
        <v>29</v>
      </c>
    </row>
    <row r="14" spans="1:18" x14ac:dyDescent="0.25">
      <c r="A14" t="s">
        <v>112</v>
      </c>
      <c r="B14" s="1">
        <v>44966</v>
      </c>
      <c r="C14" s="1">
        <v>44972</v>
      </c>
      <c r="D14" t="s">
        <v>52</v>
      </c>
      <c r="E14" t="s">
        <v>53</v>
      </c>
      <c r="F14" t="s">
        <v>113</v>
      </c>
      <c r="G14" t="s">
        <v>114</v>
      </c>
      <c r="H14" t="s">
        <v>23</v>
      </c>
      <c r="I14" t="s">
        <v>69</v>
      </c>
      <c r="J14" t="s">
        <v>115</v>
      </c>
      <c r="K14">
        <v>6200</v>
      </c>
      <c r="L14">
        <v>1</v>
      </c>
      <c r="M14">
        <v>0.15</v>
      </c>
      <c r="N14">
        <v>500</v>
      </c>
      <c r="O14" t="s">
        <v>116</v>
      </c>
      <c r="P14" t="s">
        <v>117</v>
      </c>
      <c r="Q14" t="s">
        <v>28</v>
      </c>
      <c r="R14" t="s">
        <v>50</v>
      </c>
    </row>
    <row r="15" spans="1:18" x14ac:dyDescent="0.25">
      <c r="A15" t="s">
        <v>118</v>
      </c>
      <c r="B15" s="1">
        <v>44968</v>
      </c>
      <c r="C15" s="1">
        <v>44974</v>
      </c>
      <c r="D15" t="s">
        <v>19</v>
      </c>
      <c r="E15" t="s">
        <v>20</v>
      </c>
      <c r="F15" t="s">
        <v>119</v>
      </c>
      <c r="G15" t="s">
        <v>120</v>
      </c>
      <c r="H15" t="s">
        <v>33</v>
      </c>
      <c r="I15" t="s">
        <v>63</v>
      </c>
      <c r="J15" t="s">
        <v>121</v>
      </c>
      <c r="K15">
        <v>22000</v>
      </c>
      <c r="L15">
        <v>1</v>
      </c>
      <c r="M15">
        <v>0.3</v>
      </c>
      <c r="N15">
        <v>-4000</v>
      </c>
      <c r="O15" t="s">
        <v>122</v>
      </c>
      <c r="P15" t="s">
        <v>123</v>
      </c>
      <c r="Q15" t="s">
        <v>38</v>
      </c>
      <c r="R15" t="s">
        <v>29</v>
      </c>
    </row>
    <row r="16" spans="1:18" x14ac:dyDescent="0.25">
      <c r="A16" t="s">
        <v>124</v>
      </c>
      <c r="B16" s="1">
        <v>44972</v>
      </c>
      <c r="C16" s="1">
        <v>44978</v>
      </c>
      <c r="D16" t="s">
        <v>40</v>
      </c>
      <c r="E16" t="s">
        <v>41</v>
      </c>
      <c r="F16" t="s">
        <v>125</v>
      </c>
      <c r="G16" t="s">
        <v>125</v>
      </c>
      <c r="H16" t="s">
        <v>44</v>
      </c>
      <c r="I16" t="s">
        <v>45</v>
      </c>
      <c r="J16" t="s">
        <v>126</v>
      </c>
      <c r="K16">
        <v>420</v>
      </c>
      <c r="L16">
        <v>4</v>
      </c>
      <c r="M16">
        <v>0</v>
      </c>
      <c r="N16">
        <v>160</v>
      </c>
      <c r="O16" t="s">
        <v>127</v>
      </c>
      <c r="P16" t="s">
        <v>128</v>
      </c>
      <c r="Q16" t="s">
        <v>38</v>
      </c>
      <c r="R16" t="s">
        <v>50</v>
      </c>
    </row>
    <row r="17" spans="1:18" x14ac:dyDescent="0.25">
      <c r="A17" t="s">
        <v>129</v>
      </c>
      <c r="B17" s="1">
        <v>44975</v>
      </c>
      <c r="C17" s="1">
        <v>44980</v>
      </c>
      <c r="D17" t="s">
        <v>52</v>
      </c>
      <c r="E17" t="s">
        <v>53</v>
      </c>
      <c r="F17" t="s">
        <v>130</v>
      </c>
      <c r="G17" t="s">
        <v>131</v>
      </c>
      <c r="H17" t="s">
        <v>23</v>
      </c>
      <c r="I17" t="s">
        <v>55</v>
      </c>
      <c r="J17" t="s">
        <v>132</v>
      </c>
      <c r="K17">
        <v>78000</v>
      </c>
      <c r="L17">
        <v>1</v>
      </c>
      <c r="M17">
        <v>0.05</v>
      </c>
      <c r="N17">
        <v>5000</v>
      </c>
      <c r="O17" t="s">
        <v>133</v>
      </c>
      <c r="P17" t="s">
        <v>134</v>
      </c>
      <c r="Q17" t="s">
        <v>38</v>
      </c>
      <c r="R17" t="s">
        <v>59</v>
      </c>
    </row>
    <row r="18" spans="1:18" x14ac:dyDescent="0.25">
      <c r="A18" t="s">
        <v>135</v>
      </c>
      <c r="B18" s="1">
        <v>44977</v>
      </c>
      <c r="C18" s="1">
        <v>44982</v>
      </c>
      <c r="D18" t="s">
        <v>19</v>
      </c>
      <c r="E18" t="s">
        <v>20</v>
      </c>
      <c r="F18" t="s">
        <v>136</v>
      </c>
      <c r="G18" t="s">
        <v>137</v>
      </c>
      <c r="H18" t="s">
        <v>23</v>
      </c>
      <c r="I18" t="s">
        <v>69</v>
      </c>
      <c r="J18" t="s">
        <v>138</v>
      </c>
      <c r="K18">
        <v>2500</v>
      </c>
      <c r="L18">
        <v>1</v>
      </c>
      <c r="M18">
        <v>0.2</v>
      </c>
      <c r="N18">
        <v>200</v>
      </c>
      <c r="O18" t="s">
        <v>139</v>
      </c>
      <c r="P18" t="s">
        <v>140</v>
      </c>
      <c r="Q18" t="s">
        <v>28</v>
      </c>
      <c r="R18" t="s">
        <v>29</v>
      </c>
    </row>
    <row r="19" spans="1:18" x14ac:dyDescent="0.25">
      <c r="A19" t="s">
        <v>141</v>
      </c>
      <c r="B19" s="1">
        <v>44979</v>
      </c>
      <c r="C19" s="1">
        <v>44984</v>
      </c>
      <c r="D19" t="s">
        <v>19</v>
      </c>
      <c r="E19" t="s">
        <v>20</v>
      </c>
      <c r="F19" t="s">
        <v>31</v>
      </c>
      <c r="G19" t="s">
        <v>32</v>
      </c>
      <c r="H19" t="s">
        <v>33</v>
      </c>
      <c r="I19" t="s">
        <v>84</v>
      </c>
      <c r="J19" t="s">
        <v>142</v>
      </c>
      <c r="K19">
        <v>1800</v>
      </c>
      <c r="L19">
        <v>1</v>
      </c>
      <c r="M19">
        <v>0.1</v>
      </c>
      <c r="N19">
        <v>100</v>
      </c>
      <c r="O19" t="s">
        <v>143</v>
      </c>
      <c r="P19" t="s">
        <v>144</v>
      </c>
      <c r="Q19" t="s">
        <v>49</v>
      </c>
      <c r="R19" t="s">
        <v>50</v>
      </c>
    </row>
    <row r="20" spans="1:18" x14ac:dyDescent="0.25">
      <c r="A20" t="s">
        <v>145</v>
      </c>
      <c r="B20" s="1">
        <v>44981</v>
      </c>
      <c r="C20" s="1">
        <v>44986</v>
      </c>
      <c r="D20" t="s">
        <v>40</v>
      </c>
      <c r="E20" t="s">
        <v>81</v>
      </c>
      <c r="F20" t="s">
        <v>146</v>
      </c>
      <c r="G20" t="s">
        <v>147</v>
      </c>
      <c r="H20" t="s">
        <v>23</v>
      </c>
      <c r="I20" t="s">
        <v>55</v>
      </c>
      <c r="J20" t="s">
        <v>148</v>
      </c>
      <c r="K20">
        <v>58000</v>
      </c>
      <c r="L20">
        <v>1</v>
      </c>
      <c r="M20">
        <v>0.25</v>
      </c>
      <c r="N20">
        <v>-5000</v>
      </c>
      <c r="O20" t="s">
        <v>149</v>
      </c>
      <c r="P20" t="s">
        <v>150</v>
      </c>
      <c r="Q20" t="s">
        <v>38</v>
      </c>
      <c r="R20" t="s">
        <v>29</v>
      </c>
    </row>
    <row r="21" spans="1:18" x14ac:dyDescent="0.25">
      <c r="A21" t="s">
        <v>151</v>
      </c>
      <c r="B21" s="1">
        <v>44983</v>
      </c>
      <c r="C21" s="1">
        <v>44988</v>
      </c>
      <c r="D21" t="s">
        <v>19</v>
      </c>
      <c r="E21" t="s">
        <v>20</v>
      </c>
      <c r="F21" t="s">
        <v>21</v>
      </c>
      <c r="G21" t="s">
        <v>152</v>
      </c>
      <c r="H21" t="s">
        <v>44</v>
      </c>
      <c r="I21" t="s">
        <v>76</v>
      </c>
      <c r="J21" t="s">
        <v>153</v>
      </c>
      <c r="K21">
        <v>850</v>
      </c>
      <c r="L21">
        <v>2</v>
      </c>
      <c r="M21">
        <v>0</v>
      </c>
      <c r="N21">
        <v>150</v>
      </c>
      <c r="O21" t="s">
        <v>154</v>
      </c>
      <c r="P21" t="s">
        <v>155</v>
      </c>
      <c r="Q21" t="s">
        <v>38</v>
      </c>
      <c r="R21" t="s">
        <v>50</v>
      </c>
    </row>
    <row r="22" spans="1:18" x14ac:dyDescent="0.25">
      <c r="A22" t="s">
        <v>156</v>
      </c>
      <c r="B22" s="1">
        <v>44988</v>
      </c>
      <c r="C22" s="1">
        <v>44993</v>
      </c>
      <c r="D22" t="s">
        <v>52</v>
      </c>
      <c r="E22" t="s">
        <v>53</v>
      </c>
      <c r="F22" t="s">
        <v>157</v>
      </c>
      <c r="G22" t="s">
        <v>158</v>
      </c>
      <c r="H22" t="s">
        <v>23</v>
      </c>
      <c r="I22" t="s">
        <v>24</v>
      </c>
      <c r="J22" t="s">
        <v>159</v>
      </c>
      <c r="K22">
        <v>105000</v>
      </c>
      <c r="L22">
        <v>1</v>
      </c>
      <c r="M22">
        <v>0.1</v>
      </c>
      <c r="N22">
        <v>8000</v>
      </c>
      <c r="O22" t="s">
        <v>160</v>
      </c>
      <c r="P22" t="s">
        <v>161</v>
      </c>
      <c r="Q22" t="s">
        <v>28</v>
      </c>
      <c r="R22" t="s">
        <v>59</v>
      </c>
    </row>
    <row r="23" spans="1:18" x14ac:dyDescent="0.25">
      <c r="A23" t="s">
        <v>162</v>
      </c>
      <c r="B23" s="1">
        <v>44989</v>
      </c>
      <c r="C23" s="1">
        <v>44995</v>
      </c>
      <c r="D23" t="s">
        <v>19</v>
      </c>
      <c r="E23" t="s">
        <v>20</v>
      </c>
      <c r="F23" t="s">
        <v>163</v>
      </c>
      <c r="G23" t="s">
        <v>164</v>
      </c>
      <c r="H23" t="s">
        <v>33</v>
      </c>
      <c r="I23" t="s">
        <v>34</v>
      </c>
      <c r="J23" t="s">
        <v>165</v>
      </c>
      <c r="K23">
        <v>1100</v>
      </c>
      <c r="L23">
        <v>3</v>
      </c>
      <c r="M23">
        <v>0.2</v>
      </c>
      <c r="N23">
        <v>-200</v>
      </c>
      <c r="O23" t="s">
        <v>166</v>
      </c>
      <c r="P23" t="s">
        <v>167</v>
      </c>
      <c r="Q23" t="s">
        <v>38</v>
      </c>
      <c r="R23" t="s">
        <v>29</v>
      </c>
    </row>
    <row r="24" spans="1:18" x14ac:dyDescent="0.25">
      <c r="A24" t="s">
        <v>168</v>
      </c>
      <c r="B24" s="1">
        <v>44990</v>
      </c>
      <c r="C24" s="1">
        <v>44996</v>
      </c>
      <c r="D24" t="s">
        <v>40</v>
      </c>
      <c r="E24" t="s">
        <v>41</v>
      </c>
      <c r="F24" t="s">
        <v>169</v>
      </c>
      <c r="G24" t="s">
        <v>169</v>
      </c>
      <c r="H24" t="s">
        <v>23</v>
      </c>
      <c r="I24" t="s">
        <v>69</v>
      </c>
      <c r="J24" t="s">
        <v>170</v>
      </c>
      <c r="K24">
        <v>5400</v>
      </c>
      <c r="L24">
        <v>1</v>
      </c>
      <c r="M24">
        <v>0.15</v>
      </c>
      <c r="N24">
        <v>300</v>
      </c>
      <c r="O24" t="s">
        <v>171</v>
      </c>
      <c r="P24" t="s">
        <v>172</v>
      </c>
      <c r="Q24" t="s">
        <v>28</v>
      </c>
      <c r="R24" t="s">
        <v>50</v>
      </c>
    </row>
    <row r="25" spans="1:18" x14ac:dyDescent="0.25">
      <c r="A25" t="s">
        <v>173</v>
      </c>
      <c r="B25" s="1">
        <v>44992</v>
      </c>
      <c r="C25" s="1">
        <v>44997</v>
      </c>
      <c r="D25" t="s">
        <v>19</v>
      </c>
      <c r="E25" t="s">
        <v>20</v>
      </c>
      <c r="F25" t="s">
        <v>174</v>
      </c>
      <c r="G25" t="s">
        <v>175</v>
      </c>
      <c r="H25" t="s">
        <v>44</v>
      </c>
      <c r="I25" t="s">
        <v>45</v>
      </c>
      <c r="J25" t="s">
        <v>176</v>
      </c>
      <c r="K25">
        <v>280</v>
      </c>
      <c r="L25">
        <v>4</v>
      </c>
      <c r="M25">
        <v>0</v>
      </c>
      <c r="N25">
        <v>120</v>
      </c>
      <c r="O25" t="s">
        <v>177</v>
      </c>
      <c r="P25" t="s">
        <v>178</v>
      </c>
      <c r="Q25" t="s">
        <v>38</v>
      </c>
      <c r="R25" t="s">
        <v>29</v>
      </c>
    </row>
    <row r="26" spans="1:18" x14ac:dyDescent="0.25">
      <c r="A26" t="s">
        <v>179</v>
      </c>
      <c r="B26" s="1">
        <v>44993</v>
      </c>
      <c r="C26" s="1">
        <v>44999</v>
      </c>
      <c r="D26" t="s">
        <v>52</v>
      </c>
      <c r="E26" t="s">
        <v>53</v>
      </c>
      <c r="F26" t="s">
        <v>180</v>
      </c>
      <c r="G26" t="s">
        <v>181</v>
      </c>
      <c r="H26" t="s">
        <v>33</v>
      </c>
      <c r="I26" t="s">
        <v>63</v>
      </c>
      <c r="J26" t="s">
        <v>182</v>
      </c>
      <c r="K26">
        <v>32000</v>
      </c>
      <c r="L26">
        <v>1</v>
      </c>
      <c r="M26">
        <v>0.1</v>
      </c>
      <c r="N26">
        <v>1800</v>
      </c>
      <c r="O26" t="s">
        <v>183</v>
      </c>
      <c r="P26" t="s">
        <v>184</v>
      </c>
      <c r="Q26" t="s">
        <v>49</v>
      </c>
      <c r="R26" t="s">
        <v>50</v>
      </c>
    </row>
    <row r="27" spans="1:18" x14ac:dyDescent="0.25">
      <c r="A27" t="s">
        <v>185</v>
      </c>
      <c r="B27" s="1">
        <v>44996</v>
      </c>
      <c r="C27" s="1">
        <v>45001</v>
      </c>
      <c r="D27" t="s">
        <v>19</v>
      </c>
      <c r="E27" t="s">
        <v>20</v>
      </c>
      <c r="F27" t="s">
        <v>74</v>
      </c>
      <c r="G27" t="s">
        <v>75</v>
      </c>
      <c r="H27" t="s">
        <v>23</v>
      </c>
      <c r="I27" t="s">
        <v>55</v>
      </c>
      <c r="J27" t="s">
        <v>186</v>
      </c>
      <c r="K27">
        <v>24000</v>
      </c>
      <c r="L27">
        <v>1</v>
      </c>
      <c r="M27">
        <v>0.3</v>
      </c>
      <c r="N27">
        <v>-3000</v>
      </c>
      <c r="O27" t="s">
        <v>187</v>
      </c>
      <c r="P27" t="s">
        <v>188</v>
      </c>
      <c r="Q27" t="s">
        <v>38</v>
      </c>
      <c r="R27" t="s">
        <v>29</v>
      </c>
    </row>
    <row r="28" spans="1:18" x14ac:dyDescent="0.25">
      <c r="A28" t="s">
        <v>189</v>
      </c>
      <c r="B28" s="1">
        <v>44999</v>
      </c>
      <c r="C28" s="1">
        <v>45004</v>
      </c>
      <c r="D28" t="s">
        <v>40</v>
      </c>
      <c r="E28" t="s">
        <v>190</v>
      </c>
      <c r="F28" t="s">
        <v>191</v>
      </c>
      <c r="G28" t="s">
        <v>192</v>
      </c>
      <c r="H28" t="s">
        <v>33</v>
      </c>
      <c r="I28" t="s">
        <v>34</v>
      </c>
      <c r="J28" t="s">
        <v>193</v>
      </c>
      <c r="K28">
        <v>17000</v>
      </c>
      <c r="L28">
        <v>1</v>
      </c>
      <c r="M28">
        <v>0.2</v>
      </c>
      <c r="N28">
        <v>-2000</v>
      </c>
      <c r="O28" t="s">
        <v>194</v>
      </c>
      <c r="P28" t="s">
        <v>195</v>
      </c>
      <c r="Q28" t="s">
        <v>28</v>
      </c>
      <c r="R28" t="s">
        <v>50</v>
      </c>
    </row>
    <row r="29" spans="1:18" x14ac:dyDescent="0.25">
      <c r="A29" t="s">
        <v>196</v>
      </c>
      <c r="B29" s="1">
        <v>45001</v>
      </c>
      <c r="C29" s="1">
        <v>45006</v>
      </c>
      <c r="D29" t="s">
        <v>19</v>
      </c>
      <c r="E29" t="s">
        <v>20</v>
      </c>
      <c r="F29" t="s">
        <v>95</v>
      </c>
      <c r="G29" t="s">
        <v>197</v>
      </c>
      <c r="H29" t="s">
        <v>44</v>
      </c>
      <c r="I29" t="s">
        <v>76</v>
      </c>
      <c r="J29" t="s">
        <v>198</v>
      </c>
      <c r="K29">
        <v>780</v>
      </c>
      <c r="L29">
        <v>3</v>
      </c>
      <c r="M29">
        <v>0.1</v>
      </c>
      <c r="N29">
        <v>50</v>
      </c>
      <c r="O29" t="s">
        <v>199</v>
      </c>
      <c r="P29" t="s">
        <v>200</v>
      </c>
      <c r="Q29" t="s">
        <v>38</v>
      </c>
      <c r="R29" t="s">
        <v>29</v>
      </c>
    </row>
    <row r="30" spans="1:18" x14ac:dyDescent="0.25">
      <c r="A30" t="s">
        <v>201</v>
      </c>
      <c r="B30" s="1">
        <v>45003</v>
      </c>
      <c r="C30" s="1">
        <v>45008</v>
      </c>
      <c r="D30" t="s">
        <v>52</v>
      </c>
      <c r="E30" t="s">
        <v>53</v>
      </c>
      <c r="F30" t="s">
        <v>54</v>
      </c>
      <c r="G30" t="s">
        <v>202</v>
      </c>
      <c r="H30" t="s">
        <v>23</v>
      </c>
      <c r="I30" t="s">
        <v>69</v>
      </c>
      <c r="J30" t="s">
        <v>203</v>
      </c>
      <c r="K30">
        <v>21000</v>
      </c>
      <c r="L30">
        <v>1</v>
      </c>
      <c r="M30">
        <v>0.05</v>
      </c>
      <c r="N30">
        <v>1500</v>
      </c>
      <c r="O30" t="s">
        <v>204</v>
      </c>
      <c r="P30" t="s">
        <v>205</v>
      </c>
      <c r="Q30" t="s">
        <v>49</v>
      </c>
      <c r="R30" t="s">
        <v>59</v>
      </c>
    </row>
    <row r="31" spans="1:18" x14ac:dyDescent="0.25">
      <c r="A31" t="s">
        <v>206</v>
      </c>
      <c r="B31" s="1">
        <v>45005</v>
      </c>
      <c r="C31" s="1">
        <v>45010</v>
      </c>
      <c r="D31" t="s">
        <v>40</v>
      </c>
      <c r="E31" t="s">
        <v>207</v>
      </c>
      <c r="F31" t="s">
        <v>208</v>
      </c>
      <c r="G31" t="s">
        <v>208</v>
      </c>
      <c r="H31" t="s">
        <v>23</v>
      </c>
      <c r="I31" t="s">
        <v>55</v>
      </c>
      <c r="J31" t="s">
        <v>209</v>
      </c>
      <c r="K31">
        <v>41000</v>
      </c>
      <c r="L31">
        <v>1</v>
      </c>
      <c r="M31">
        <v>0.2</v>
      </c>
      <c r="N31">
        <v>-2000</v>
      </c>
      <c r="O31" t="s">
        <v>210</v>
      </c>
      <c r="P31" t="s">
        <v>211</v>
      </c>
      <c r="Q31" t="s">
        <v>38</v>
      </c>
      <c r="R31" t="s">
        <v>29</v>
      </c>
    </row>
    <row r="32" spans="1:18" x14ac:dyDescent="0.25">
      <c r="A32" t="s">
        <v>212</v>
      </c>
      <c r="B32" s="1">
        <v>45007</v>
      </c>
      <c r="C32" s="1">
        <v>45012</v>
      </c>
      <c r="D32" t="s">
        <v>19</v>
      </c>
      <c r="E32" t="s">
        <v>20</v>
      </c>
      <c r="F32" t="s">
        <v>68</v>
      </c>
      <c r="G32" t="s">
        <v>68</v>
      </c>
      <c r="H32" t="s">
        <v>44</v>
      </c>
      <c r="I32" t="s">
        <v>45</v>
      </c>
      <c r="J32" t="s">
        <v>213</v>
      </c>
      <c r="K32">
        <v>300</v>
      </c>
      <c r="L32">
        <v>5</v>
      </c>
      <c r="M32">
        <v>0</v>
      </c>
      <c r="N32">
        <v>140</v>
      </c>
      <c r="O32" t="s">
        <v>214</v>
      </c>
      <c r="P32" t="s">
        <v>215</v>
      </c>
      <c r="Q32" t="s">
        <v>49</v>
      </c>
      <c r="R32" t="s">
        <v>50</v>
      </c>
    </row>
    <row r="33" spans="1:18" x14ac:dyDescent="0.25">
      <c r="A33" t="s">
        <v>216</v>
      </c>
      <c r="B33" s="1">
        <v>45010</v>
      </c>
      <c r="C33" s="1">
        <v>45015</v>
      </c>
      <c r="D33" t="s">
        <v>19</v>
      </c>
      <c r="E33" t="s">
        <v>20</v>
      </c>
      <c r="F33" t="s">
        <v>217</v>
      </c>
      <c r="G33" t="s">
        <v>218</v>
      </c>
      <c r="H33" t="s">
        <v>33</v>
      </c>
      <c r="I33" t="s">
        <v>84</v>
      </c>
      <c r="J33" t="s">
        <v>219</v>
      </c>
      <c r="K33">
        <v>2200</v>
      </c>
      <c r="L33">
        <v>1</v>
      </c>
      <c r="M33">
        <v>0.15</v>
      </c>
      <c r="N33">
        <v>-150</v>
      </c>
      <c r="O33" t="s">
        <v>220</v>
      </c>
      <c r="P33" t="s">
        <v>221</v>
      </c>
      <c r="Q33" t="s">
        <v>38</v>
      </c>
      <c r="R33" t="s">
        <v>29</v>
      </c>
    </row>
    <row r="34" spans="1:18" x14ac:dyDescent="0.25">
      <c r="A34" t="s">
        <v>222</v>
      </c>
      <c r="B34" s="1">
        <v>45012</v>
      </c>
      <c r="C34" s="1">
        <v>45017</v>
      </c>
      <c r="D34" t="s">
        <v>52</v>
      </c>
      <c r="E34" t="s">
        <v>53</v>
      </c>
      <c r="F34" t="s">
        <v>61</v>
      </c>
      <c r="G34" t="s">
        <v>223</v>
      </c>
      <c r="H34" t="s">
        <v>23</v>
      </c>
      <c r="I34" t="s">
        <v>69</v>
      </c>
      <c r="J34" t="s">
        <v>224</v>
      </c>
      <c r="K34">
        <v>3200</v>
      </c>
      <c r="L34">
        <v>1</v>
      </c>
      <c r="M34">
        <v>0.1</v>
      </c>
      <c r="N34">
        <v>200</v>
      </c>
      <c r="O34" t="s">
        <v>225</v>
      </c>
      <c r="P34" t="s">
        <v>226</v>
      </c>
      <c r="Q34" t="s">
        <v>28</v>
      </c>
      <c r="R34" t="s">
        <v>50</v>
      </c>
    </row>
    <row r="35" spans="1:18" x14ac:dyDescent="0.25">
      <c r="A35" t="s">
        <v>227</v>
      </c>
      <c r="B35" s="1">
        <v>45013</v>
      </c>
      <c r="C35" s="1">
        <v>45019</v>
      </c>
      <c r="D35" t="s">
        <v>19</v>
      </c>
      <c r="E35" t="s">
        <v>20</v>
      </c>
      <c r="F35" t="s">
        <v>228</v>
      </c>
      <c r="G35" t="s">
        <v>229</v>
      </c>
      <c r="H35" t="s">
        <v>33</v>
      </c>
      <c r="I35" t="s">
        <v>34</v>
      </c>
      <c r="J35" t="s">
        <v>230</v>
      </c>
      <c r="K35">
        <v>5200</v>
      </c>
      <c r="L35">
        <v>1</v>
      </c>
      <c r="M35">
        <v>0.2</v>
      </c>
      <c r="N35">
        <v>-600</v>
      </c>
      <c r="O35" t="s">
        <v>231</v>
      </c>
      <c r="P35" t="s">
        <v>232</v>
      </c>
      <c r="Q35" t="s">
        <v>38</v>
      </c>
      <c r="R35" t="s">
        <v>29</v>
      </c>
    </row>
    <row r="36" spans="1:18" x14ac:dyDescent="0.25">
      <c r="A36" t="s">
        <v>233</v>
      </c>
      <c r="B36" s="1">
        <v>45015</v>
      </c>
      <c r="C36" s="1">
        <v>45020</v>
      </c>
      <c r="D36" t="s">
        <v>40</v>
      </c>
      <c r="E36" t="s">
        <v>81</v>
      </c>
      <c r="F36" t="s">
        <v>234</v>
      </c>
      <c r="G36" t="s">
        <v>235</v>
      </c>
      <c r="H36" t="s">
        <v>44</v>
      </c>
      <c r="I36" t="s">
        <v>76</v>
      </c>
      <c r="J36" t="s">
        <v>236</v>
      </c>
      <c r="K36">
        <v>1300</v>
      </c>
      <c r="L36">
        <v>2</v>
      </c>
      <c r="M36">
        <v>0.2</v>
      </c>
      <c r="N36">
        <v>-50</v>
      </c>
      <c r="O36" t="s">
        <v>237</v>
      </c>
      <c r="P36" t="s">
        <v>238</v>
      </c>
      <c r="Q36" t="s">
        <v>38</v>
      </c>
      <c r="R36" t="s">
        <v>50</v>
      </c>
    </row>
    <row r="37" spans="1:18" x14ac:dyDescent="0.25">
      <c r="A37" t="s">
        <v>239</v>
      </c>
      <c r="B37" s="1">
        <v>45017</v>
      </c>
      <c r="C37" s="1">
        <v>45022</v>
      </c>
      <c r="D37" t="s">
        <v>19</v>
      </c>
      <c r="E37" t="s">
        <v>20</v>
      </c>
      <c r="F37" t="s">
        <v>240</v>
      </c>
      <c r="G37" t="s">
        <v>241</v>
      </c>
      <c r="H37" t="s">
        <v>23</v>
      </c>
      <c r="I37" t="s">
        <v>24</v>
      </c>
      <c r="J37" t="s">
        <v>242</v>
      </c>
      <c r="K37">
        <v>58000</v>
      </c>
      <c r="L37">
        <v>1</v>
      </c>
      <c r="M37">
        <v>0.15</v>
      </c>
      <c r="N37">
        <v>-2000</v>
      </c>
      <c r="O37" t="s">
        <v>243</v>
      </c>
      <c r="P37" t="s">
        <v>244</v>
      </c>
      <c r="Q37" t="s">
        <v>38</v>
      </c>
      <c r="R37" t="s">
        <v>29</v>
      </c>
    </row>
    <row r="38" spans="1:18" x14ac:dyDescent="0.25">
      <c r="A38" t="s">
        <v>245</v>
      </c>
      <c r="B38" s="1">
        <v>45018</v>
      </c>
      <c r="C38" s="1">
        <v>45023</v>
      </c>
      <c r="D38" t="s">
        <v>40</v>
      </c>
      <c r="E38" t="s">
        <v>41</v>
      </c>
      <c r="F38" t="s">
        <v>169</v>
      </c>
      <c r="G38" t="s">
        <v>169</v>
      </c>
      <c r="H38" t="s">
        <v>33</v>
      </c>
      <c r="I38" t="s">
        <v>63</v>
      </c>
      <c r="J38" t="s">
        <v>246</v>
      </c>
      <c r="K38">
        <v>14000</v>
      </c>
      <c r="L38">
        <v>1</v>
      </c>
      <c r="M38">
        <v>0.1</v>
      </c>
      <c r="N38">
        <v>700</v>
      </c>
      <c r="O38" t="s">
        <v>247</v>
      </c>
      <c r="P38" t="s">
        <v>248</v>
      </c>
      <c r="Q38" t="s">
        <v>28</v>
      </c>
      <c r="R38" t="s">
        <v>50</v>
      </c>
    </row>
    <row r="39" spans="1:18" x14ac:dyDescent="0.25">
      <c r="A39" t="s">
        <v>249</v>
      </c>
      <c r="B39" s="1">
        <v>45020</v>
      </c>
      <c r="C39" s="1">
        <v>45025</v>
      </c>
      <c r="D39" t="s">
        <v>52</v>
      </c>
      <c r="E39" t="s">
        <v>53</v>
      </c>
      <c r="F39" t="s">
        <v>89</v>
      </c>
      <c r="G39" t="s">
        <v>250</v>
      </c>
      <c r="H39" t="s">
        <v>23</v>
      </c>
      <c r="I39" t="s">
        <v>55</v>
      </c>
      <c r="J39" t="s">
        <v>251</v>
      </c>
      <c r="K39">
        <v>65000</v>
      </c>
      <c r="L39">
        <v>1</v>
      </c>
      <c r="M39">
        <v>0.1</v>
      </c>
      <c r="N39">
        <v>4500</v>
      </c>
      <c r="O39" t="s">
        <v>252</v>
      </c>
      <c r="P39" t="s">
        <v>253</v>
      </c>
      <c r="Q39" t="s">
        <v>49</v>
      </c>
      <c r="R39" t="s">
        <v>59</v>
      </c>
    </row>
    <row r="40" spans="1:18" x14ac:dyDescent="0.25">
      <c r="A40" t="s">
        <v>254</v>
      </c>
      <c r="B40" s="1">
        <v>45022</v>
      </c>
      <c r="C40" s="1">
        <v>45027</v>
      </c>
      <c r="D40" t="s">
        <v>19</v>
      </c>
      <c r="E40" t="s">
        <v>20</v>
      </c>
      <c r="F40" t="s">
        <v>255</v>
      </c>
      <c r="G40" t="s">
        <v>256</v>
      </c>
      <c r="H40" t="s">
        <v>44</v>
      </c>
      <c r="I40" t="s">
        <v>45</v>
      </c>
      <c r="J40" t="s">
        <v>257</v>
      </c>
      <c r="K40">
        <v>310</v>
      </c>
      <c r="L40">
        <v>3</v>
      </c>
      <c r="M40">
        <v>0</v>
      </c>
      <c r="N40">
        <v>80</v>
      </c>
      <c r="O40" t="s">
        <v>258</v>
      </c>
      <c r="P40" t="s">
        <v>259</v>
      </c>
      <c r="Q40" t="s">
        <v>38</v>
      </c>
      <c r="R40" t="s">
        <v>50</v>
      </c>
    </row>
    <row r="41" spans="1:18" x14ac:dyDescent="0.25">
      <c r="A41" t="s">
        <v>260</v>
      </c>
      <c r="B41" s="1">
        <v>45025</v>
      </c>
      <c r="C41" s="1">
        <v>45029</v>
      </c>
      <c r="D41" t="s">
        <v>40</v>
      </c>
      <c r="E41" t="s">
        <v>190</v>
      </c>
      <c r="F41" t="s">
        <v>261</v>
      </c>
      <c r="G41" t="s">
        <v>262</v>
      </c>
      <c r="H41" t="s">
        <v>33</v>
      </c>
      <c r="I41" t="s">
        <v>84</v>
      </c>
      <c r="J41" t="s">
        <v>263</v>
      </c>
      <c r="K41">
        <v>2800</v>
      </c>
      <c r="L41">
        <v>1</v>
      </c>
      <c r="M41">
        <v>0.15</v>
      </c>
      <c r="N41">
        <v>-200</v>
      </c>
      <c r="O41" t="s">
        <v>264</v>
      </c>
      <c r="P41" t="s">
        <v>265</v>
      </c>
      <c r="Q41" t="s">
        <v>38</v>
      </c>
      <c r="R41" t="s">
        <v>29</v>
      </c>
    </row>
    <row r="42" spans="1:18" x14ac:dyDescent="0.25">
      <c r="A42" t="s">
        <v>266</v>
      </c>
      <c r="B42" s="1">
        <v>45027</v>
      </c>
      <c r="C42" s="1">
        <v>45032</v>
      </c>
      <c r="D42" t="s">
        <v>52</v>
      </c>
      <c r="E42" t="s">
        <v>53</v>
      </c>
      <c r="F42" t="s">
        <v>113</v>
      </c>
      <c r="G42" t="s">
        <v>267</v>
      </c>
      <c r="H42" t="s">
        <v>23</v>
      </c>
      <c r="I42" t="s">
        <v>69</v>
      </c>
      <c r="J42" t="s">
        <v>268</v>
      </c>
      <c r="K42">
        <v>3500</v>
      </c>
      <c r="L42">
        <v>1</v>
      </c>
      <c r="M42">
        <v>0.1</v>
      </c>
      <c r="N42">
        <v>300</v>
      </c>
      <c r="O42" t="s">
        <v>269</v>
      </c>
      <c r="P42" t="s">
        <v>270</v>
      </c>
      <c r="Q42" t="s">
        <v>28</v>
      </c>
      <c r="R42" t="s">
        <v>50</v>
      </c>
    </row>
    <row r="43" spans="1:18" x14ac:dyDescent="0.25">
      <c r="A43" t="s">
        <v>271</v>
      </c>
      <c r="B43" s="1">
        <v>45030</v>
      </c>
      <c r="C43" s="1">
        <v>45035</v>
      </c>
      <c r="D43" t="s">
        <v>19</v>
      </c>
      <c r="E43" t="s">
        <v>20</v>
      </c>
      <c r="F43" t="s">
        <v>21</v>
      </c>
      <c r="G43" t="s">
        <v>272</v>
      </c>
      <c r="H43" t="s">
        <v>33</v>
      </c>
      <c r="I43" t="s">
        <v>34</v>
      </c>
      <c r="J43" t="s">
        <v>273</v>
      </c>
      <c r="K43">
        <v>2900</v>
      </c>
      <c r="L43">
        <v>1</v>
      </c>
      <c r="M43">
        <v>0.2</v>
      </c>
      <c r="N43">
        <v>-250</v>
      </c>
      <c r="O43" t="s">
        <v>274</v>
      </c>
      <c r="P43" t="s">
        <v>275</v>
      </c>
      <c r="Q43" t="s">
        <v>38</v>
      </c>
      <c r="R43" t="s">
        <v>29</v>
      </c>
    </row>
    <row r="44" spans="1:18" x14ac:dyDescent="0.25">
      <c r="A44" t="s">
        <v>276</v>
      </c>
      <c r="B44" s="1">
        <v>45031</v>
      </c>
      <c r="C44" s="1">
        <v>45036</v>
      </c>
      <c r="D44" t="s">
        <v>40</v>
      </c>
      <c r="E44" t="s">
        <v>207</v>
      </c>
      <c r="F44" t="s">
        <v>277</v>
      </c>
      <c r="G44" t="s">
        <v>277</v>
      </c>
      <c r="H44" t="s">
        <v>23</v>
      </c>
      <c r="I44" t="s">
        <v>24</v>
      </c>
      <c r="J44" t="s">
        <v>278</v>
      </c>
      <c r="K44">
        <v>120000</v>
      </c>
      <c r="L44">
        <v>1</v>
      </c>
      <c r="M44">
        <v>0.05</v>
      </c>
      <c r="N44">
        <v>9500</v>
      </c>
      <c r="O44" t="s">
        <v>279</v>
      </c>
      <c r="P44" t="s">
        <v>280</v>
      </c>
      <c r="Q44" t="s">
        <v>28</v>
      </c>
      <c r="R44" t="s">
        <v>59</v>
      </c>
    </row>
    <row r="45" spans="1:18" x14ac:dyDescent="0.25">
      <c r="A45" t="s">
        <v>281</v>
      </c>
      <c r="B45" s="1">
        <v>45033</v>
      </c>
      <c r="C45" s="1">
        <v>45038</v>
      </c>
      <c r="D45" t="s">
        <v>19</v>
      </c>
      <c r="E45" t="s">
        <v>20</v>
      </c>
      <c r="F45" t="s">
        <v>282</v>
      </c>
      <c r="G45" t="s">
        <v>283</v>
      </c>
      <c r="H45" t="s">
        <v>44</v>
      </c>
      <c r="I45" t="s">
        <v>76</v>
      </c>
      <c r="J45" t="s">
        <v>284</v>
      </c>
      <c r="K45">
        <v>600</v>
      </c>
      <c r="L45">
        <v>3</v>
      </c>
      <c r="M45">
        <v>0.1</v>
      </c>
      <c r="N45">
        <v>20</v>
      </c>
      <c r="O45" t="s">
        <v>285</v>
      </c>
      <c r="P45" t="s">
        <v>286</v>
      </c>
      <c r="Q45" t="s">
        <v>49</v>
      </c>
      <c r="R45" t="s">
        <v>29</v>
      </c>
    </row>
    <row r="46" spans="1:18" x14ac:dyDescent="0.25">
      <c r="A46" t="s">
        <v>287</v>
      </c>
      <c r="B46" s="1">
        <v>45034</v>
      </c>
      <c r="C46" s="1">
        <v>45039</v>
      </c>
      <c r="D46" t="s">
        <v>52</v>
      </c>
      <c r="E46" t="s">
        <v>53</v>
      </c>
      <c r="F46" t="s">
        <v>288</v>
      </c>
      <c r="G46" t="s">
        <v>289</v>
      </c>
      <c r="H46" t="s">
        <v>33</v>
      </c>
      <c r="I46" t="s">
        <v>63</v>
      </c>
      <c r="J46" t="s">
        <v>290</v>
      </c>
      <c r="K46">
        <v>19000</v>
      </c>
      <c r="L46">
        <v>1</v>
      </c>
      <c r="M46">
        <v>0.25</v>
      </c>
      <c r="N46">
        <v>-2300</v>
      </c>
      <c r="O46" t="s">
        <v>291</v>
      </c>
      <c r="P46" t="s">
        <v>292</v>
      </c>
      <c r="Q46" t="s">
        <v>28</v>
      </c>
      <c r="R46" t="s">
        <v>50</v>
      </c>
    </row>
    <row r="47" spans="1:18" x14ac:dyDescent="0.25">
      <c r="A47" t="s">
        <v>293</v>
      </c>
      <c r="B47" s="1">
        <v>45037</v>
      </c>
      <c r="C47" s="1">
        <v>45042</v>
      </c>
      <c r="D47" t="s">
        <v>52</v>
      </c>
      <c r="E47" t="s">
        <v>53</v>
      </c>
      <c r="F47" t="s">
        <v>180</v>
      </c>
      <c r="G47" t="s">
        <v>294</v>
      </c>
      <c r="H47" t="s">
        <v>23</v>
      </c>
      <c r="I47" t="s">
        <v>55</v>
      </c>
      <c r="J47" t="s">
        <v>295</v>
      </c>
      <c r="K47">
        <v>30000</v>
      </c>
      <c r="L47">
        <v>1</v>
      </c>
      <c r="M47">
        <v>0.1</v>
      </c>
      <c r="N47">
        <v>1600</v>
      </c>
      <c r="O47" t="s">
        <v>296</v>
      </c>
      <c r="P47" t="s">
        <v>297</v>
      </c>
      <c r="Q47" t="s">
        <v>38</v>
      </c>
      <c r="R47" t="s">
        <v>29</v>
      </c>
    </row>
    <row r="48" spans="1:18" x14ac:dyDescent="0.25">
      <c r="A48" t="s">
        <v>298</v>
      </c>
      <c r="B48" s="1">
        <v>45038</v>
      </c>
      <c r="C48" s="1">
        <v>45043</v>
      </c>
      <c r="D48" t="s">
        <v>40</v>
      </c>
      <c r="E48" t="s">
        <v>106</v>
      </c>
      <c r="F48" t="s">
        <v>107</v>
      </c>
      <c r="G48" t="s">
        <v>299</v>
      </c>
      <c r="H48" t="s">
        <v>44</v>
      </c>
      <c r="I48" t="s">
        <v>45</v>
      </c>
      <c r="J48" t="s">
        <v>300</v>
      </c>
      <c r="K48">
        <v>250</v>
      </c>
      <c r="L48">
        <v>3</v>
      </c>
      <c r="M48">
        <v>0</v>
      </c>
      <c r="N48">
        <v>60</v>
      </c>
      <c r="O48" t="s">
        <v>301</v>
      </c>
      <c r="P48" t="s">
        <v>302</v>
      </c>
      <c r="Q48" t="s">
        <v>49</v>
      </c>
      <c r="R48" t="s">
        <v>50</v>
      </c>
    </row>
    <row r="49" spans="1:18" x14ac:dyDescent="0.25">
      <c r="A49" t="s">
        <v>303</v>
      </c>
      <c r="B49" s="1">
        <v>45040</v>
      </c>
      <c r="C49" s="1">
        <v>45045</v>
      </c>
      <c r="D49" t="s">
        <v>19</v>
      </c>
      <c r="E49" t="s">
        <v>20</v>
      </c>
      <c r="F49" t="s">
        <v>304</v>
      </c>
      <c r="G49" t="s">
        <v>305</v>
      </c>
      <c r="H49" t="s">
        <v>33</v>
      </c>
      <c r="I49" t="s">
        <v>84</v>
      </c>
      <c r="J49" t="s">
        <v>306</v>
      </c>
      <c r="K49">
        <v>3500</v>
      </c>
      <c r="L49">
        <v>1</v>
      </c>
      <c r="M49">
        <v>0.1</v>
      </c>
      <c r="N49">
        <v>-100</v>
      </c>
      <c r="O49" t="s">
        <v>307</v>
      </c>
      <c r="P49" t="s">
        <v>308</v>
      </c>
      <c r="Q49" t="s">
        <v>38</v>
      </c>
      <c r="R49" t="s">
        <v>29</v>
      </c>
    </row>
    <row r="50" spans="1:18" x14ac:dyDescent="0.25">
      <c r="A50" t="s">
        <v>309</v>
      </c>
      <c r="B50" s="1">
        <v>45042</v>
      </c>
      <c r="C50" s="1">
        <v>45047</v>
      </c>
      <c r="D50" t="s">
        <v>40</v>
      </c>
      <c r="E50" t="s">
        <v>41</v>
      </c>
      <c r="F50" t="s">
        <v>310</v>
      </c>
      <c r="G50" t="s">
        <v>311</v>
      </c>
      <c r="H50" t="s">
        <v>23</v>
      </c>
      <c r="I50" t="s">
        <v>69</v>
      </c>
      <c r="J50" t="s">
        <v>312</v>
      </c>
      <c r="K50">
        <v>4800</v>
      </c>
      <c r="L50">
        <v>1</v>
      </c>
      <c r="M50">
        <v>0.15</v>
      </c>
      <c r="N50">
        <v>250</v>
      </c>
      <c r="O50" t="s">
        <v>313</v>
      </c>
      <c r="P50" t="s">
        <v>314</v>
      </c>
      <c r="Q50" t="s">
        <v>38</v>
      </c>
      <c r="R50" t="s">
        <v>50</v>
      </c>
    </row>
    <row r="51" spans="1:18" x14ac:dyDescent="0.25">
      <c r="A51" t="s">
        <v>315</v>
      </c>
      <c r="B51" s="1">
        <v>45044</v>
      </c>
      <c r="C51" s="1">
        <v>45049</v>
      </c>
      <c r="D51" t="s">
        <v>19</v>
      </c>
      <c r="E51" t="s">
        <v>20</v>
      </c>
      <c r="F51" t="s">
        <v>316</v>
      </c>
      <c r="G51" t="s">
        <v>317</v>
      </c>
      <c r="H51" t="s">
        <v>23</v>
      </c>
      <c r="I51" t="s">
        <v>24</v>
      </c>
      <c r="J51" t="s">
        <v>318</v>
      </c>
      <c r="K51">
        <v>46000</v>
      </c>
      <c r="L51">
        <v>1</v>
      </c>
      <c r="M51">
        <v>0.2</v>
      </c>
      <c r="N51">
        <v>-1500</v>
      </c>
      <c r="O51" t="s">
        <v>319</v>
      </c>
      <c r="P51" t="s">
        <v>320</v>
      </c>
      <c r="Q51" t="s">
        <v>28</v>
      </c>
      <c r="R51" t="s">
        <v>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0"/>
  <sheetViews>
    <sheetView tabSelected="1" topLeftCell="X1" workbookViewId="0">
      <selection activeCell="AC10" activeCellId="1" sqref="T32 AC10"/>
    </sheetView>
  </sheetViews>
  <sheetFormatPr defaultColWidth="18.28515625" defaultRowHeight="15" x14ac:dyDescent="0.25"/>
  <cols>
    <col min="1" max="1" width="18.28515625" style="4"/>
    <col min="2" max="2" width="18.28515625" style="16"/>
    <col min="3" max="9" width="18.28515625" style="4"/>
    <col min="10" max="10" width="25.7109375" style="4" customWidth="1"/>
    <col min="11" max="22" width="18.28515625" style="4"/>
    <col min="23" max="23" width="18.28515625" style="10"/>
    <col min="24" max="27" width="18.28515625" style="4"/>
    <col min="29" max="30" width="18.28515625" style="4"/>
    <col min="33" max="16384" width="18.28515625" style="4"/>
  </cols>
  <sheetData>
    <row r="1" spans="1:31" x14ac:dyDescent="0.25">
      <c r="A1" s="6" t="s">
        <v>0</v>
      </c>
      <c r="B1" s="17" t="s">
        <v>1</v>
      </c>
      <c r="C1" s="6" t="s">
        <v>2</v>
      </c>
      <c r="D1" s="3" t="s">
        <v>340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322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3" t="s">
        <v>324</v>
      </c>
      <c r="T1" s="3" t="s">
        <v>323</v>
      </c>
      <c r="U1" s="3" t="s">
        <v>335</v>
      </c>
      <c r="V1" s="3" t="s">
        <v>336</v>
      </c>
      <c r="W1" s="8" t="s">
        <v>337</v>
      </c>
      <c r="X1" s="3" t="s">
        <v>338</v>
      </c>
      <c r="Y1" s="3" t="s">
        <v>325</v>
      </c>
      <c r="Z1" s="3" t="s">
        <v>326</v>
      </c>
      <c r="AA1" s="3" t="s">
        <v>339</v>
      </c>
      <c r="AB1" s="24"/>
      <c r="AC1" s="3"/>
      <c r="AD1" s="3"/>
      <c r="AE1" s="3"/>
    </row>
    <row r="2" spans="1:31" x14ac:dyDescent="0.25">
      <c r="A2" s="7" t="s">
        <v>18</v>
      </c>
      <c r="B2" s="16">
        <v>44929</v>
      </c>
      <c r="C2" s="11">
        <v>44934</v>
      </c>
      <c r="D2" s="4" t="str">
        <f>IF(F2="","Unknown",IFERROR(VLOOKUP(F2,lookup!$A:$B,2,FALSE),"Unknown"))</f>
        <v>APAC</v>
      </c>
      <c r="E2" s="7" t="s">
        <v>20</v>
      </c>
      <c r="F2" s="7" t="s">
        <v>21</v>
      </c>
      <c r="G2" s="7" t="s">
        <v>22</v>
      </c>
      <c r="H2" s="7" t="s">
        <v>23</v>
      </c>
      <c r="I2" s="7" t="s">
        <v>24</v>
      </c>
      <c r="J2" s="7" t="s">
        <v>25</v>
      </c>
      <c r="K2" s="7">
        <v>82000</v>
      </c>
      <c r="L2" s="7">
        <v>1</v>
      </c>
      <c r="M2" s="7">
        <v>0.1</v>
      </c>
      <c r="N2" s="7">
        <v>6500</v>
      </c>
      <c r="O2" s="7" t="s">
        <v>26</v>
      </c>
      <c r="P2" s="7" t="s">
        <v>27</v>
      </c>
      <c r="Q2" s="7" t="s">
        <v>28</v>
      </c>
      <c r="R2" s="7" t="s">
        <v>29</v>
      </c>
      <c r="S2" s="5">
        <f t="shared" ref="S2:S33" si="0">K2/$T$2</f>
        <v>911.82030468141886</v>
      </c>
      <c r="T2" s="4">
        <v>89.93</v>
      </c>
      <c r="U2" s="4" t="str">
        <f t="shared" ref="U2:U33" si="1">TRIM(PROPER(H2))</f>
        <v>Technology</v>
      </c>
      <c r="V2" s="4" t="str">
        <f t="shared" ref="V2:V33" si="2">TRIM(PROPER(I2))</f>
        <v>Laptops</v>
      </c>
      <c r="W2" s="9">
        <f t="shared" ref="W2:W33" si="3">IF(K2=0,0,K2/N2)</f>
        <v>12.615384615384615</v>
      </c>
      <c r="X2" s="4">
        <f t="shared" ref="X2:X33" si="4">K2*M2</f>
        <v>8200</v>
      </c>
      <c r="Y2" s="4">
        <f t="shared" ref="Y2:Y33" si="5">YEAR(B2)</f>
        <v>2023</v>
      </c>
      <c r="Z2" s="4" t="str">
        <f t="shared" ref="Z2:Z33" si="6">TEXT(B2,"YYYY-MM")</f>
        <v>2023-01</v>
      </c>
      <c r="AA2" s="4" t="str">
        <f t="shared" ref="AA2:AA33" si="7">TEXT(B2,"MMM,YYYY")</f>
        <v>Jan,2023</v>
      </c>
      <c r="AB2" s="27"/>
      <c r="AC2" s="28"/>
      <c r="AD2" s="28"/>
    </row>
    <row r="3" spans="1:31" x14ac:dyDescent="0.25">
      <c r="A3" s="7" t="s">
        <v>30</v>
      </c>
      <c r="B3" s="16">
        <v>44931</v>
      </c>
      <c r="C3" s="11">
        <v>44935</v>
      </c>
      <c r="D3" s="4" t="str">
        <f>IF(F3="","Unknown",IFERROR(VLOOKUP(F3,lookup!$A:$B,2,FALSE),"Unknown"))</f>
        <v>APAC</v>
      </c>
      <c r="E3" s="7" t="s">
        <v>20</v>
      </c>
      <c r="F3" s="7" t="s">
        <v>31</v>
      </c>
      <c r="G3" s="7" t="s">
        <v>32</v>
      </c>
      <c r="H3" s="7" t="s">
        <v>33</v>
      </c>
      <c r="I3" s="7" t="s">
        <v>34</v>
      </c>
      <c r="J3" s="7" t="s">
        <v>35</v>
      </c>
      <c r="K3" s="7">
        <v>12500</v>
      </c>
      <c r="L3" s="7">
        <v>2</v>
      </c>
      <c r="M3" s="7">
        <v>0.2</v>
      </c>
      <c r="N3" s="7">
        <v>-1500</v>
      </c>
      <c r="O3" s="7" t="s">
        <v>36</v>
      </c>
      <c r="P3" s="7" t="s">
        <v>37</v>
      </c>
      <c r="Q3" s="7" t="s">
        <v>38</v>
      </c>
      <c r="R3" s="7" t="s">
        <v>29</v>
      </c>
      <c r="S3" s="5">
        <f t="shared" si="0"/>
        <v>138.99699766485043</v>
      </c>
      <c r="T3" s="4">
        <v>89.93</v>
      </c>
      <c r="U3" s="4" t="str">
        <f t="shared" si="1"/>
        <v>Furniture</v>
      </c>
      <c r="V3" s="4" t="str">
        <f t="shared" si="2"/>
        <v>Chairs</v>
      </c>
      <c r="W3" s="9">
        <f t="shared" si="3"/>
        <v>-8.3333333333333339</v>
      </c>
      <c r="X3" s="4">
        <f t="shared" si="4"/>
        <v>2500</v>
      </c>
      <c r="Y3" s="4">
        <f t="shared" si="5"/>
        <v>2023</v>
      </c>
      <c r="Z3" s="4" t="str">
        <f t="shared" si="6"/>
        <v>2023-01</v>
      </c>
      <c r="AA3" s="4" t="str">
        <f t="shared" si="7"/>
        <v>Jan,2023</v>
      </c>
      <c r="AB3" s="26"/>
    </row>
    <row r="4" spans="1:31" x14ac:dyDescent="0.25">
      <c r="A4" s="7" t="s">
        <v>39</v>
      </c>
      <c r="B4" s="16">
        <v>44936</v>
      </c>
      <c r="C4" s="11">
        <v>44936</v>
      </c>
      <c r="D4" s="4" t="str">
        <f>IF(F4="","Unknown",IFERROR(VLOOKUP(F4,lookup!$A:$B,2,FALSE),"Unknown"))</f>
        <v>Europe</v>
      </c>
      <c r="E4" s="7" t="s">
        <v>41</v>
      </c>
      <c r="F4" s="7" t="s">
        <v>42</v>
      </c>
      <c r="G4" s="7" t="s">
        <v>43</v>
      </c>
      <c r="H4" s="7" t="s">
        <v>44</v>
      </c>
      <c r="I4" s="7" t="s">
        <v>45</v>
      </c>
      <c r="J4" s="7" t="s">
        <v>46</v>
      </c>
      <c r="K4" s="7">
        <v>350</v>
      </c>
      <c r="L4" s="7">
        <v>5</v>
      </c>
      <c r="M4" s="7">
        <v>0</v>
      </c>
      <c r="N4" s="7">
        <v>120</v>
      </c>
      <c r="O4" s="7" t="s">
        <v>47</v>
      </c>
      <c r="P4" s="7" t="s">
        <v>48</v>
      </c>
      <c r="Q4" s="7" t="s">
        <v>49</v>
      </c>
      <c r="R4" s="7" t="s">
        <v>50</v>
      </c>
      <c r="S4" s="5">
        <f t="shared" si="0"/>
        <v>3.8919159346158119</v>
      </c>
      <c r="T4" s="4">
        <v>89.93</v>
      </c>
      <c r="U4" s="4" t="str">
        <f t="shared" si="1"/>
        <v>Office Supplies</v>
      </c>
      <c r="V4" s="4" t="str">
        <f t="shared" si="2"/>
        <v>Paper</v>
      </c>
      <c r="W4" s="9">
        <f t="shared" si="3"/>
        <v>2.9166666666666665</v>
      </c>
      <c r="X4" s="4">
        <f t="shared" si="4"/>
        <v>0</v>
      </c>
      <c r="Y4" s="4">
        <f t="shared" si="5"/>
        <v>2023</v>
      </c>
      <c r="Z4" s="4" t="str">
        <f t="shared" si="6"/>
        <v>2023-01</v>
      </c>
      <c r="AA4" s="4" t="str">
        <f t="shared" si="7"/>
        <v>Jan,2023</v>
      </c>
      <c r="AB4" s="26"/>
    </row>
    <row r="5" spans="1:31" x14ac:dyDescent="0.25">
      <c r="A5" s="7" t="s">
        <v>51</v>
      </c>
      <c r="B5" s="16">
        <v>44938</v>
      </c>
      <c r="C5" s="11">
        <v>44937</v>
      </c>
      <c r="D5" s="4" t="str">
        <f>IF(F5="","Unknown",IFERROR(VLOOKUP(F5,lookup!$A:$B,2,FALSE),"Unknown"))</f>
        <v>US</v>
      </c>
      <c r="E5" s="7" t="s">
        <v>53</v>
      </c>
      <c r="F5" s="7" t="s">
        <v>54</v>
      </c>
      <c r="G5" s="7" t="s">
        <v>54</v>
      </c>
      <c r="H5" s="7" t="s">
        <v>23</v>
      </c>
      <c r="I5" s="7" t="s">
        <v>55</v>
      </c>
      <c r="J5" s="7" t="s">
        <v>56</v>
      </c>
      <c r="K5" s="7">
        <v>120000</v>
      </c>
      <c r="L5" s="7">
        <v>1</v>
      </c>
      <c r="M5" s="7">
        <v>0.05</v>
      </c>
      <c r="N5" s="7">
        <v>9000</v>
      </c>
      <c r="O5" s="7" t="s">
        <v>57</v>
      </c>
      <c r="P5" s="7" t="s">
        <v>58</v>
      </c>
      <c r="Q5" s="7" t="s">
        <v>28</v>
      </c>
      <c r="R5" s="7" t="s">
        <v>59</v>
      </c>
      <c r="S5" s="5">
        <f t="shared" si="0"/>
        <v>1334.3711775825641</v>
      </c>
      <c r="T5" s="4">
        <v>89.93</v>
      </c>
      <c r="U5" s="4" t="str">
        <f t="shared" si="1"/>
        <v>Technology</v>
      </c>
      <c r="V5" s="4" t="str">
        <f t="shared" si="2"/>
        <v>Phones</v>
      </c>
      <c r="W5" s="9">
        <f t="shared" si="3"/>
        <v>13.333333333333334</v>
      </c>
      <c r="X5" s="4">
        <f t="shared" si="4"/>
        <v>6000</v>
      </c>
      <c r="Y5" s="4">
        <f t="shared" si="5"/>
        <v>2023</v>
      </c>
      <c r="Z5" s="4" t="str">
        <f t="shared" si="6"/>
        <v>2023-01</v>
      </c>
      <c r="AA5" s="4" t="str">
        <f t="shared" si="7"/>
        <v>Jan,2023</v>
      </c>
      <c r="AB5" s="25"/>
    </row>
    <row r="6" spans="1:31" x14ac:dyDescent="0.25">
      <c r="A6" s="7" t="s">
        <v>60</v>
      </c>
      <c r="B6" s="16">
        <v>44939</v>
      </c>
      <c r="C6" s="11">
        <v>44938</v>
      </c>
      <c r="D6" s="4" t="str">
        <f>IF(F6="","Unknown",IFERROR(VLOOKUP(F6,lookup!$A:$B,2,FALSE),"Unknown"))</f>
        <v>US</v>
      </c>
      <c r="E6" s="7" t="s">
        <v>53</v>
      </c>
      <c r="F6" s="7" t="s">
        <v>61</v>
      </c>
      <c r="G6" s="7" t="s">
        <v>62</v>
      </c>
      <c r="H6" s="7" t="s">
        <v>33</v>
      </c>
      <c r="I6" s="7" t="s">
        <v>63</v>
      </c>
      <c r="J6" s="7" t="s">
        <v>64</v>
      </c>
      <c r="K6" s="7">
        <v>18000</v>
      </c>
      <c r="L6" s="7">
        <v>1</v>
      </c>
      <c r="M6" s="7">
        <v>0.25</v>
      </c>
      <c r="N6" s="7">
        <v>-2200</v>
      </c>
      <c r="O6" s="7" t="s">
        <v>65</v>
      </c>
      <c r="P6" s="7" t="s">
        <v>66</v>
      </c>
      <c r="Q6" s="7" t="s">
        <v>38</v>
      </c>
      <c r="R6" s="7" t="s">
        <v>29</v>
      </c>
      <c r="S6" s="5">
        <f t="shared" si="0"/>
        <v>200.15567663738463</v>
      </c>
      <c r="T6" s="4">
        <v>89.93</v>
      </c>
      <c r="U6" s="4" t="str">
        <f t="shared" si="1"/>
        <v>Furniture</v>
      </c>
      <c r="V6" s="4" t="str">
        <f t="shared" si="2"/>
        <v>Tables</v>
      </c>
      <c r="W6" s="9">
        <f t="shared" si="3"/>
        <v>-8.1818181818181817</v>
      </c>
      <c r="X6" s="4">
        <f t="shared" si="4"/>
        <v>4500</v>
      </c>
      <c r="Y6" s="4">
        <f t="shared" si="5"/>
        <v>2023</v>
      </c>
      <c r="Z6" s="4" t="str">
        <f t="shared" si="6"/>
        <v>2023-01</v>
      </c>
      <c r="AA6" s="4" t="str">
        <f t="shared" si="7"/>
        <v>Jan,2023</v>
      </c>
      <c r="AB6" s="25"/>
    </row>
    <row r="7" spans="1:31" x14ac:dyDescent="0.25">
      <c r="A7" s="7" t="s">
        <v>67</v>
      </c>
      <c r="B7" s="16">
        <v>44946</v>
      </c>
      <c r="C7" s="11">
        <v>44939</v>
      </c>
      <c r="D7" s="4" t="str">
        <f>IF(F7="","Unknown",IFERROR(VLOOKUP(F7,lookup!$A:$B,2,FALSE),"Unknown"))</f>
        <v>APAC</v>
      </c>
      <c r="E7" s="7" t="s">
        <v>20</v>
      </c>
      <c r="F7" s="7" t="s">
        <v>68</v>
      </c>
      <c r="G7" s="7" t="s">
        <v>68</v>
      </c>
      <c r="H7" s="7" t="s">
        <v>23</v>
      </c>
      <c r="I7" s="7" t="s">
        <v>69</v>
      </c>
      <c r="J7" s="7" t="s">
        <v>70</v>
      </c>
      <c r="K7" s="7">
        <v>4500</v>
      </c>
      <c r="L7" s="7">
        <v>1</v>
      </c>
      <c r="M7" s="7">
        <v>0</v>
      </c>
      <c r="N7" s="7">
        <v>900</v>
      </c>
      <c r="O7" s="7" t="s">
        <v>71</v>
      </c>
      <c r="P7" s="7" t="s">
        <v>72</v>
      </c>
      <c r="Q7" s="7" t="s">
        <v>38</v>
      </c>
      <c r="R7" s="7" t="s">
        <v>50</v>
      </c>
      <c r="S7" s="5">
        <f t="shared" si="0"/>
        <v>50.038919159346158</v>
      </c>
      <c r="T7" s="4">
        <v>89.93</v>
      </c>
      <c r="U7" s="4" t="str">
        <f t="shared" si="1"/>
        <v>Technology</v>
      </c>
      <c r="V7" s="4" t="str">
        <f t="shared" si="2"/>
        <v>Accessories</v>
      </c>
      <c r="W7" s="9">
        <f t="shared" si="3"/>
        <v>5</v>
      </c>
      <c r="X7" s="4">
        <f t="shared" si="4"/>
        <v>0</v>
      </c>
      <c r="Y7" s="4">
        <f t="shared" si="5"/>
        <v>2023</v>
      </c>
      <c r="Z7" s="4" t="str">
        <f t="shared" si="6"/>
        <v>2023-01</v>
      </c>
      <c r="AA7" s="4" t="str">
        <f t="shared" si="7"/>
        <v>Jan,2023</v>
      </c>
    </row>
    <row r="8" spans="1:31" x14ac:dyDescent="0.25">
      <c r="A8" s="7" t="s">
        <v>73</v>
      </c>
      <c r="B8" s="16">
        <v>44948</v>
      </c>
      <c r="C8" s="11">
        <v>44940</v>
      </c>
      <c r="D8" s="4" t="str">
        <f>IF(F8="","Unknown",IFERROR(VLOOKUP(F8,lookup!$A:$B,2,FALSE),"Unknown"))</f>
        <v>APAC</v>
      </c>
      <c r="E8" s="7" t="s">
        <v>20</v>
      </c>
      <c r="F8" s="7" t="s">
        <v>74</v>
      </c>
      <c r="G8" s="7" t="s">
        <v>75</v>
      </c>
      <c r="H8" s="7" t="s">
        <v>44</v>
      </c>
      <c r="I8" s="7" t="s">
        <v>76</v>
      </c>
      <c r="J8" s="7" t="s">
        <v>77</v>
      </c>
      <c r="K8" s="7">
        <v>900</v>
      </c>
      <c r="L8" s="7">
        <v>3</v>
      </c>
      <c r="M8" s="7">
        <v>0.1</v>
      </c>
      <c r="N8" s="7">
        <v>100</v>
      </c>
      <c r="O8" s="7" t="s">
        <v>78</v>
      </c>
      <c r="P8" s="7" t="s">
        <v>79</v>
      </c>
      <c r="Q8" s="7" t="s">
        <v>49</v>
      </c>
      <c r="R8" s="7" t="s">
        <v>29</v>
      </c>
      <c r="S8" s="5">
        <f t="shared" si="0"/>
        <v>10.007783831869231</v>
      </c>
      <c r="T8" s="4">
        <v>89.93</v>
      </c>
      <c r="U8" s="4" t="str">
        <f t="shared" si="1"/>
        <v>Office Supplies</v>
      </c>
      <c r="V8" s="4" t="str">
        <f t="shared" si="2"/>
        <v>Binders</v>
      </c>
      <c r="W8" s="9">
        <f t="shared" si="3"/>
        <v>9</v>
      </c>
      <c r="X8" s="4">
        <f t="shared" si="4"/>
        <v>90</v>
      </c>
      <c r="Y8" s="4">
        <f t="shared" si="5"/>
        <v>2023</v>
      </c>
      <c r="Z8" s="4" t="str">
        <f t="shared" si="6"/>
        <v>2023-01</v>
      </c>
      <c r="AA8" s="4" t="str">
        <f t="shared" si="7"/>
        <v>Jan,2023</v>
      </c>
    </row>
    <row r="9" spans="1:31" x14ac:dyDescent="0.25">
      <c r="A9" s="7" t="s">
        <v>80</v>
      </c>
      <c r="B9" s="16">
        <v>44951</v>
      </c>
      <c r="C9" s="11">
        <v>44941</v>
      </c>
      <c r="D9" s="4" t="str">
        <f>IF(F9="","Unknown",IFERROR(VLOOKUP(F9,lookup!$A:$B,2,FALSE),"Unknown"))</f>
        <v>Europe</v>
      </c>
      <c r="E9" s="7" t="s">
        <v>81</v>
      </c>
      <c r="F9" s="7" t="s">
        <v>82</v>
      </c>
      <c r="G9" s="7" t="s">
        <v>83</v>
      </c>
      <c r="H9" s="7" t="s">
        <v>33</v>
      </c>
      <c r="I9" s="7" t="s">
        <v>84</v>
      </c>
      <c r="J9" s="7" t="s">
        <v>85</v>
      </c>
      <c r="K9" s="7">
        <v>3200</v>
      </c>
      <c r="L9" s="7">
        <v>2</v>
      </c>
      <c r="M9" s="7">
        <v>0.15</v>
      </c>
      <c r="N9" s="7">
        <v>-400</v>
      </c>
      <c r="O9" s="7" t="s">
        <v>86</v>
      </c>
      <c r="P9" s="7" t="s">
        <v>87</v>
      </c>
      <c r="Q9" s="7" t="s">
        <v>38</v>
      </c>
      <c r="R9" s="7" t="s">
        <v>50</v>
      </c>
      <c r="S9" s="5">
        <f t="shared" si="0"/>
        <v>35.583231402201712</v>
      </c>
      <c r="T9" s="4">
        <v>89.93</v>
      </c>
      <c r="U9" s="4" t="str">
        <f t="shared" si="1"/>
        <v>Furniture</v>
      </c>
      <c r="V9" s="4" t="str">
        <f t="shared" si="2"/>
        <v>Furnishings</v>
      </c>
      <c r="W9" s="9">
        <f t="shared" si="3"/>
        <v>-8</v>
      </c>
      <c r="X9" s="4">
        <f t="shared" si="4"/>
        <v>480</v>
      </c>
      <c r="Y9" s="4">
        <f t="shared" si="5"/>
        <v>2023</v>
      </c>
      <c r="Z9" s="4" t="str">
        <f t="shared" si="6"/>
        <v>2023-01</v>
      </c>
      <c r="AA9" s="4" t="str">
        <f t="shared" si="7"/>
        <v>Jan,2023</v>
      </c>
    </row>
    <row r="10" spans="1:31" x14ac:dyDescent="0.25">
      <c r="A10" s="7" t="s">
        <v>88</v>
      </c>
      <c r="B10" s="16">
        <v>44953</v>
      </c>
      <c r="C10" s="11">
        <v>44942</v>
      </c>
      <c r="D10" s="4" t="str">
        <f>IF(F10="","Unknown",IFERROR(VLOOKUP(F10,lookup!$A:$B,2,FALSE),"Unknown"))</f>
        <v>US</v>
      </c>
      <c r="E10" s="7" t="s">
        <v>53</v>
      </c>
      <c r="F10" s="7" t="s">
        <v>89</v>
      </c>
      <c r="G10" s="7" t="s">
        <v>90</v>
      </c>
      <c r="H10" s="7" t="s">
        <v>23</v>
      </c>
      <c r="I10" s="7" t="s">
        <v>24</v>
      </c>
      <c r="J10" s="7" t="s">
        <v>91</v>
      </c>
      <c r="K10" s="7">
        <v>72000</v>
      </c>
      <c r="L10" s="7">
        <v>1</v>
      </c>
      <c r="M10" s="7">
        <v>0.2</v>
      </c>
      <c r="N10" s="7">
        <v>-3000</v>
      </c>
      <c r="O10" s="7" t="s">
        <v>92</v>
      </c>
      <c r="P10" s="7" t="s">
        <v>93</v>
      </c>
      <c r="Q10" s="7" t="s">
        <v>28</v>
      </c>
      <c r="R10" s="7" t="s">
        <v>29</v>
      </c>
      <c r="S10" s="5">
        <f t="shared" si="0"/>
        <v>800.62270654953852</v>
      </c>
      <c r="T10" s="4">
        <v>89.93</v>
      </c>
      <c r="U10" s="4" t="str">
        <f t="shared" si="1"/>
        <v>Technology</v>
      </c>
      <c r="V10" s="4" t="str">
        <f t="shared" si="2"/>
        <v>Laptops</v>
      </c>
      <c r="W10" s="9">
        <f t="shared" si="3"/>
        <v>-24</v>
      </c>
      <c r="X10" s="4">
        <f t="shared" si="4"/>
        <v>14400</v>
      </c>
      <c r="Y10" s="4">
        <f t="shared" si="5"/>
        <v>2023</v>
      </c>
      <c r="Z10" s="4" t="str">
        <f t="shared" si="6"/>
        <v>2023-01</v>
      </c>
      <c r="AA10" s="4" t="str">
        <f t="shared" si="7"/>
        <v>Jan,2023</v>
      </c>
    </row>
    <row r="11" spans="1:31" x14ac:dyDescent="0.25">
      <c r="A11" s="7" t="s">
        <v>94</v>
      </c>
      <c r="B11" s="16">
        <v>44959</v>
      </c>
      <c r="C11" s="11">
        <v>44943</v>
      </c>
      <c r="D11" s="4" t="str">
        <f>IF(F11="","Unknown",IFERROR(VLOOKUP(F11,lookup!$A:$B,2,FALSE),"Unknown"))</f>
        <v>APAC</v>
      </c>
      <c r="E11" s="7" t="s">
        <v>20</v>
      </c>
      <c r="F11" s="7" t="s">
        <v>95</v>
      </c>
      <c r="G11" s="7" t="s">
        <v>96</v>
      </c>
      <c r="H11" s="7" t="s">
        <v>44</v>
      </c>
      <c r="I11" s="7" t="s">
        <v>45</v>
      </c>
      <c r="J11" s="7" t="s">
        <v>97</v>
      </c>
      <c r="K11" s="7">
        <v>150</v>
      </c>
      <c r="L11" s="7">
        <v>2</v>
      </c>
      <c r="M11" s="7">
        <v>0</v>
      </c>
      <c r="N11" s="7">
        <v>40</v>
      </c>
      <c r="O11" s="7" t="s">
        <v>98</v>
      </c>
      <c r="P11" s="7" t="s">
        <v>99</v>
      </c>
      <c r="Q11" s="7" t="s">
        <v>38</v>
      </c>
      <c r="R11" s="7" t="s">
        <v>50</v>
      </c>
      <c r="S11" s="5">
        <f t="shared" si="0"/>
        <v>1.6679639719782051</v>
      </c>
      <c r="T11" s="4">
        <v>89.93</v>
      </c>
      <c r="U11" s="4" t="str">
        <f t="shared" si="1"/>
        <v>Office Supplies</v>
      </c>
      <c r="V11" s="4" t="str">
        <f t="shared" si="2"/>
        <v>Paper</v>
      </c>
      <c r="W11" s="9">
        <f t="shared" si="3"/>
        <v>3.75</v>
      </c>
      <c r="X11" s="4">
        <f t="shared" si="4"/>
        <v>0</v>
      </c>
      <c r="Y11" s="4">
        <f t="shared" si="5"/>
        <v>2023</v>
      </c>
      <c r="Z11" s="4" t="str">
        <f t="shared" si="6"/>
        <v>2023-02</v>
      </c>
      <c r="AA11" s="4" t="str">
        <f t="shared" si="7"/>
        <v>Feb,2023</v>
      </c>
    </row>
    <row r="12" spans="1:31" x14ac:dyDescent="0.25">
      <c r="A12" s="7" t="s">
        <v>100</v>
      </c>
      <c r="B12" s="16">
        <v>44960</v>
      </c>
      <c r="C12" s="11">
        <v>44944</v>
      </c>
      <c r="D12" s="4" t="str">
        <f>IF(F12="","Unknown",IFERROR(VLOOKUP(F12,lookup!$A:$B,2,FALSE),"Unknown"))</f>
        <v>APAC</v>
      </c>
      <c r="E12" s="7" t="s">
        <v>20</v>
      </c>
      <c r="F12" s="7" t="s">
        <v>21</v>
      </c>
      <c r="G12" s="7" t="s">
        <v>101</v>
      </c>
      <c r="H12" s="7" t="s">
        <v>23</v>
      </c>
      <c r="I12" s="7" t="s">
        <v>55</v>
      </c>
      <c r="J12" s="7" t="s">
        <v>102</v>
      </c>
      <c r="K12" s="7">
        <v>104000</v>
      </c>
      <c r="L12" s="7">
        <v>1</v>
      </c>
      <c r="M12" s="7">
        <v>0.1</v>
      </c>
      <c r="N12" s="7">
        <v>7000</v>
      </c>
      <c r="O12" s="7" t="s">
        <v>103</v>
      </c>
      <c r="P12" s="7" t="s">
        <v>104</v>
      </c>
      <c r="Q12" s="7" t="s">
        <v>49</v>
      </c>
      <c r="R12" s="7" t="s">
        <v>50</v>
      </c>
      <c r="S12" s="5">
        <f t="shared" si="0"/>
        <v>1156.4550205715557</v>
      </c>
      <c r="T12" s="4">
        <v>89.93</v>
      </c>
      <c r="U12" s="4" t="str">
        <f t="shared" si="1"/>
        <v>Technology</v>
      </c>
      <c r="V12" s="4" t="str">
        <f t="shared" si="2"/>
        <v>Phones</v>
      </c>
      <c r="W12" s="9">
        <f t="shared" si="3"/>
        <v>14.857142857142858</v>
      </c>
      <c r="X12" s="4">
        <f t="shared" si="4"/>
        <v>10400</v>
      </c>
      <c r="Y12" s="4">
        <f t="shared" si="5"/>
        <v>2023</v>
      </c>
      <c r="Z12" s="4" t="str">
        <f t="shared" si="6"/>
        <v>2023-02</v>
      </c>
      <c r="AA12" s="4" t="str">
        <f t="shared" si="7"/>
        <v>Feb,2023</v>
      </c>
    </row>
    <row r="13" spans="1:31" x14ac:dyDescent="0.25">
      <c r="A13" s="7" t="s">
        <v>105</v>
      </c>
      <c r="B13" s="16">
        <v>44962</v>
      </c>
      <c r="C13" s="11">
        <v>44945</v>
      </c>
      <c r="D13" s="4" t="str">
        <f>IF(F13="","Unknown",IFERROR(VLOOKUP(F13,lookup!$A:$B,2,FALSE),"Unknown"))</f>
        <v>Europe</v>
      </c>
      <c r="E13" s="7" t="s">
        <v>106</v>
      </c>
      <c r="F13" s="7" t="s">
        <v>107</v>
      </c>
      <c r="G13" s="7" t="s">
        <v>108</v>
      </c>
      <c r="H13" s="7" t="s">
        <v>33</v>
      </c>
      <c r="I13" s="7" t="s">
        <v>34</v>
      </c>
      <c r="J13" s="7" t="s">
        <v>109</v>
      </c>
      <c r="K13" s="7">
        <v>15000</v>
      </c>
      <c r="L13" s="7">
        <v>1</v>
      </c>
      <c r="M13" s="7">
        <v>0.2</v>
      </c>
      <c r="N13" s="7">
        <v>-2500</v>
      </c>
      <c r="O13" s="7" t="s">
        <v>110</v>
      </c>
      <c r="P13" s="7" t="s">
        <v>111</v>
      </c>
      <c r="Q13" s="7" t="s">
        <v>38</v>
      </c>
      <c r="R13" s="7" t="s">
        <v>29</v>
      </c>
      <c r="S13" s="5">
        <f t="shared" si="0"/>
        <v>166.79639719782051</v>
      </c>
      <c r="T13" s="4">
        <v>89.93</v>
      </c>
      <c r="U13" s="4" t="str">
        <f t="shared" si="1"/>
        <v>Furniture</v>
      </c>
      <c r="V13" s="4" t="str">
        <f t="shared" si="2"/>
        <v>Chairs</v>
      </c>
      <c r="W13" s="9">
        <f t="shared" si="3"/>
        <v>-6</v>
      </c>
      <c r="X13" s="4">
        <f t="shared" si="4"/>
        <v>3000</v>
      </c>
      <c r="Y13" s="4">
        <f t="shared" si="5"/>
        <v>2023</v>
      </c>
      <c r="Z13" s="4" t="str">
        <f t="shared" si="6"/>
        <v>2023-02</v>
      </c>
      <c r="AA13" s="4" t="str">
        <f t="shared" si="7"/>
        <v>Feb,2023</v>
      </c>
    </row>
    <row r="14" spans="1:31" x14ac:dyDescent="0.25">
      <c r="A14" s="7" t="s">
        <v>112</v>
      </c>
      <c r="B14" s="16">
        <v>44966</v>
      </c>
      <c r="C14" s="11">
        <v>44946</v>
      </c>
      <c r="D14" s="4" t="str">
        <f>IF(F14="","Unknown",IFERROR(VLOOKUP(F14,lookup!$A:$B,2,FALSE),"Unknown"))</f>
        <v>US</v>
      </c>
      <c r="E14" s="7" t="s">
        <v>53</v>
      </c>
      <c r="F14" s="7" t="s">
        <v>113</v>
      </c>
      <c r="G14" s="7" t="s">
        <v>114</v>
      </c>
      <c r="H14" s="7" t="s">
        <v>23</v>
      </c>
      <c r="I14" s="7" t="s">
        <v>69</v>
      </c>
      <c r="J14" s="7" t="s">
        <v>115</v>
      </c>
      <c r="K14" s="7">
        <v>6200</v>
      </c>
      <c r="L14" s="7">
        <v>1</v>
      </c>
      <c r="M14" s="7">
        <v>0.15</v>
      </c>
      <c r="N14" s="7">
        <v>500</v>
      </c>
      <c r="O14" s="7" t="s">
        <v>116</v>
      </c>
      <c r="P14" s="7" t="s">
        <v>117</v>
      </c>
      <c r="Q14" s="7" t="s">
        <v>28</v>
      </c>
      <c r="R14" s="7" t="s">
        <v>50</v>
      </c>
      <c r="S14" s="5">
        <f t="shared" si="0"/>
        <v>68.942510841765809</v>
      </c>
      <c r="T14" s="4">
        <v>89.93</v>
      </c>
      <c r="U14" s="4" t="str">
        <f t="shared" si="1"/>
        <v>Technology</v>
      </c>
      <c r="V14" s="4" t="str">
        <f t="shared" si="2"/>
        <v>Accessories</v>
      </c>
      <c r="W14" s="9">
        <f t="shared" si="3"/>
        <v>12.4</v>
      </c>
      <c r="X14" s="4">
        <f t="shared" si="4"/>
        <v>930</v>
      </c>
      <c r="Y14" s="4">
        <f t="shared" si="5"/>
        <v>2023</v>
      </c>
      <c r="Z14" s="4" t="str">
        <f t="shared" si="6"/>
        <v>2023-02</v>
      </c>
      <c r="AA14" s="4" t="str">
        <f t="shared" si="7"/>
        <v>Feb,2023</v>
      </c>
    </row>
    <row r="15" spans="1:31" x14ac:dyDescent="0.25">
      <c r="A15" s="7" t="s">
        <v>118</v>
      </c>
      <c r="B15" s="16">
        <v>44968</v>
      </c>
      <c r="C15" s="11">
        <v>44947</v>
      </c>
      <c r="D15" s="4" t="str">
        <f>IF(F15="","Unknown",IFERROR(VLOOKUP(F15,lookup!$A:$B,2,FALSE),"Unknown"))</f>
        <v>APAC</v>
      </c>
      <c r="E15" s="7" t="s">
        <v>20</v>
      </c>
      <c r="F15" s="7" t="s">
        <v>119</v>
      </c>
      <c r="G15" s="7" t="s">
        <v>120</v>
      </c>
      <c r="H15" s="7" t="s">
        <v>33</v>
      </c>
      <c r="I15" s="7" t="s">
        <v>63</v>
      </c>
      <c r="J15" s="7" t="s">
        <v>121</v>
      </c>
      <c r="K15" s="7">
        <v>22000</v>
      </c>
      <c r="L15" s="7">
        <v>1</v>
      </c>
      <c r="M15" s="7">
        <v>0.3</v>
      </c>
      <c r="N15" s="7">
        <v>-4000</v>
      </c>
      <c r="O15" s="7" t="s">
        <v>122</v>
      </c>
      <c r="P15" s="7" t="s">
        <v>123</v>
      </c>
      <c r="Q15" s="7" t="s">
        <v>38</v>
      </c>
      <c r="R15" s="7" t="s">
        <v>29</v>
      </c>
      <c r="S15" s="5">
        <f t="shared" si="0"/>
        <v>244.63471589013676</v>
      </c>
      <c r="T15" s="4">
        <v>89.93</v>
      </c>
      <c r="U15" s="4" t="str">
        <f t="shared" si="1"/>
        <v>Furniture</v>
      </c>
      <c r="V15" s="4" t="str">
        <f t="shared" si="2"/>
        <v>Tables</v>
      </c>
      <c r="W15" s="9">
        <f t="shared" si="3"/>
        <v>-5.5</v>
      </c>
      <c r="X15" s="4">
        <f t="shared" si="4"/>
        <v>6600</v>
      </c>
      <c r="Y15" s="4">
        <f t="shared" si="5"/>
        <v>2023</v>
      </c>
      <c r="Z15" s="4" t="str">
        <f t="shared" si="6"/>
        <v>2023-02</v>
      </c>
      <c r="AA15" s="4" t="str">
        <f t="shared" si="7"/>
        <v>Feb,2023</v>
      </c>
    </row>
    <row r="16" spans="1:31" x14ac:dyDescent="0.25">
      <c r="A16" s="7" t="s">
        <v>124</v>
      </c>
      <c r="B16" s="16">
        <v>44972</v>
      </c>
      <c r="C16" s="11">
        <v>44948</v>
      </c>
      <c r="D16" s="4" t="str">
        <f>IF(F16="","Unknown",IFERROR(VLOOKUP(F16,lookup!$A:$B,2,FALSE),"Unknown"))</f>
        <v>Europe</v>
      </c>
      <c r="E16" s="7" t="s">
        <v>41</v>
      </c>
      <c r="F16" s="7" t="s">
        <v>125</v>
      </c>
      <c r="G16" s="7" t="s">
        <v>125</v>
      </c>
      <c r="H16" s="7" t="s">
        <v>44</v>
      </c>
      <c r="I16" s="7" t="s">
        <v>45</v>
      </c>
      <c r="J16" s="7" t="s">
        <v>126</v>
      </c>
      <c r="K16" s="7">
        <v>420</v>
      </c>
      <c r="L16" s="7">
        <v>4</v>
      </c>
      <c r="M16" s="7">
        <v>0</v>
      </c>
      <c r="N16" s="7">
        <v>160</v>
      </c>
      <c r="O16" s="7" t="s">
        <v>127</v>
      </c>
      <c r="P16" s="7" t="s">
        <v>128</v>
      </c>
      <c r="Q16" s="7" t="s">
        <v>38</v>
      </c>
      <c r="R16" s="7" t="s">
        <v>50</v>
      </c>
      <c r="S16" s="5">
        <f t="shared" si="0"/>
        <v>4.6702991215389744</v>
      </c>
      <c r="T16" s="4">
        <v>89.93</v>
      </c>
      <c r="U16" s="4" t="str">
        <f t="shared" si="1"/>
        <v>Office Supplies</v>
      </c>
      <c r="V16" s="4" t="str">
        <f t="shared" si="2"/>
        <v>Paper</v>
      </c>
      <c r="W16" s="9">
        <f t="shared" si="3"/>
        <v>2.625</v>
      </c>
      <c r="X16" s="4">
        <f t="shared" si="4"/>
        <v>0</v>
      </c>
      <c r="Y16" s="4">
        <f t="shared" si="5"/>
        <v>2023</v>
      </c>
      <c r="Z16" s="4" t="str">
        <f t="shared" si="6"/>
        <v>2023-02</v>
      </c>
      <c r="AA16" s="4" t="str">
        <f t="shared" si="7"/>
        <v>Feb,2023</v>
      </c>
    </row>
    <row r="17" spans="1:27" x14ac:dyDescent="0.25">
      <c r="A17" s="7" t="s">
        <v>129</v>
      </c>
      <c r="B17" s="16">
        <v>44975</v>
      </c>
      <c r="C17" s="11">
        <v>44949</v>
      </c>
      <c r="D17" s="4" t="str">
        <f>IF(F17="","Unknown",IFERROR(VLOOKUP(F17,lookup!$A:$B,2,FALSE),"Unknown"))</f>
        <v>US</v>
      </c>
      <c r="E17" s="7" t="s">
        <v>53</v>
      </c>
      <c r="F17" s="7" t="s">
        <v>130</v>
      </c>
      <c r="G17" s="7" t="s">
        <v>131</v>
      </c>
      <c r="H17" s="7" t="s">
        <v>23</v>
      </c>
      <c r="I17" s="7" t="s">
        <v>55</v>
      </c>
      <c r="J17" s="7" t="s">
        <v>132</v>
      </c>
      <c r="K17" s="7">
        <v>78000</v>
      </c>
      <c r="L17" s="7">
        <v>1</v>
      </c>
      <c r="M17" s="7">
        <v>0.05</v>
      </c>
      <c r="N17" s="7">
        <v>5000</v>
      </c>
      <c r="O17" s="7" t="s">
        <v>133</v>
      </c>
      <c r="P17" s="7" t="s">
        <v>134</v>
      </c>
      <c r="Q17" s="7" t="s">
        <v>38</v>
      </c>
      <c r="R17" s="7" t="s">
        <v>59</v>
      </c>
      <c r="S17" s="5">
        <f t="shared" si="0"/>
        <v>867.3412654286667</v>
      </c>
      <c r="T17" s="4">
        <v>89.93</v>
      </c>
      <c r="U17" s="4" t="str">
        <f t="shared" si="1"/>
        <v>Technology</v>
      </c>
      <c r="V17" s="4" t="str">
        <f t="shared" si="2"/>
        <v>Phones</v>
      </c>
      <c r="W17" s="9">
        <f t="shared" si="3"/>
        <v>15.6</v>
      </c>
      <c r="X17" s="4">
        <f t="shared" si="4"/>
        <v>3900</v>
      </c>
      <c r="Y17" s="4">
        <f t="shared" si="5"/>
        <v>2023</v>
      </c>
      <c r="Z17" s="4" t="str">
        <f t="shared" si="6"/>
        <v>2023-02</v>
      </c>
      <c r="AA17" s="4" t="str">
        <f t="shared" si="7"/>
        <v>Feb,2023</v>
      </c>
    </row>
    <row r="18" spans="1:27" x14ac:dyDescent="0.25">
      <c r="A18" s="7" t="s">
        <v>135</v>
      </c>
      <c r="B18" s="16">
        <v>44977</v>
      </c>
      <c r="C18" s="11">
        <v>44950</v>
      </c>
      <c r="D18" s="4" t="str">
        <f>IF(F18="","Unknown",IFERROR(VLOOKUP(F18,lookup!$A:$B,2,FALSE),"Unknown"))</f>
        <v>APAC</v>
      </c>
      <c r="E18" s="7" t="s">
        <v>20</v>
      </c>
      <c r="F18" s="7" t="s">
        <v>136</v>
      </c>
      <c r="G18" s="7" t="s">
        <v>137</v>
      </c>
      <c r="H18" s="7" t="s">
        <v>23</v>
      </c>
      <c r="I18" s="7" t="s">
        <v>69</v>
      </c>
      <c r="J18" s="7" t="s">
        <v>138</v>
      </c>
      <c r="K18" s="7">
        <v>2500</v>
      </c>
      <c r="L18" s="7">
        <v>1</v>
      </c>
      <c r="M18" s="7">
        <v>0.2</v>
      </c>
      <c r="N18" s="7">
        <v>200</v>
      </c>
      <c r="O18" s="7" t="s">
        <v>139</v>
      </c>
      <c r="P18" s="7" t="s">
        <v>140</v>
      </c>
      <c r="Q18" s="7" t="s">
        <v>28</v>
      </c>
      <c r="R18" s="7" t="s">
        <v>29</v>
      </c>
      <c r="S18" s="5">
        <f t="shared" si="0"/>
        <v>27.799399532970085</v>
      </c>
      <c r="T18" s="4">
        <v>89.93</v>
      </c>
      <c r="U18" s="4" t="str">
        <f t="shared" si="1"/>
        <v>Technology</v>
      </c>
      <c r="V18" s="4" t="str">
        <f t="shared" si="2"/>
        <v>Accessories</v>
      </c>
      <c r="W18" s="9">
        <f t="shared" si="3"/>
        <v>12.5</v>
      </c>
      <c r="X18" s="4">
        <f t="shared" si="4"/>
        <v>500</v>
      </c>
      <c r="Y18" s="4">
        <f t="shared" si="5"/>
        <v>2023</v>
      </c>
      <c r="Z18" s="4" t="str">
        <f t="shared" si="6"/>
        <v>2023-02</v>
      </c>
      <c r="AA18" s="4" t="str">
        <f t="shared" si="7"/>
        <v>Feb,2023</v>
      </c>
    </row>
    <row r="19" spans="1:27" x14ac:dyDescent="0.25">
      <c r="A19" s="7" t="s">
        <v>141</v>
      </c>
      <c r="B19" s="16">
        <v>44979</v>
      </c>
      <c r="C19" s="11">
        <v>44951</v>
      </c>
      <c r="D19" s="4" t="str">
        <f>IF(F19="","Unknown",IFERROR(VLOOKUP(F19,lookup!$A:$B,2,FALSE),"Unknown"))</f>
        <v>APAC</v>
      </c>
      <c r="E19" s="7" t="s">
        <v>20</v>
      </c>
      <c r="F19" s="7" t="s">
        <v>31</v>
      </c>
      <c r="G19" s="7" t="s">
        <v>32</v>
      </c>
      <c r="H19" s="7" t="s">
        <v>33</v>
      </c>
      <c r="I19" s="7" t="s">
        <v>84</v>
      </c>
      <c r="J19" s="7" t="s">
        <v>142</v>
      </c>
      <c r="K19" s="7">
        <v>1800</v>
      </c>
      <c r="L19" s="7">
        <v>1</v>
      </c>
      <c r="M19" s="7">
        <v>0.1</v>
      </c>
      <c r="N19" s="7">
        <v>100</v>
      </c>
      <c r="O19" s="7" t="s">
        <v>143</v>
      </c>
      <c r="P19" s="7" t="s">
        <v>144</v>
      </c>
      <c r="Q19" s="7" t="s">
        <v>49</v>
      </c>
      <c r="R19" s="7" t="s">
        <v>50</v>
      </c>
      <c r="S19" s="5">
        <f t="shared" si="0"/>
        <v>20.015567663738462</v>
      </c>
      <c r="T19" s="4">
        <v>89.93</v>
      </c>
      <c r="U19" s="4" t="str">
        <f t="shared" si="1"/>
        <v>Furniture</v>
      </c>
      <c r="V19" s="4" t="str">
        <f t="shared" si="2"/>
        <v>Furnishings</v>
      </c>
      <c r="W19" s="9">
        <f t="shared" si="3"/>
        <v>18</v>
      </c>
      <c r="X19" s="4">
        <f t="shared" si="4"/>
        <v>180</v>
      </c>
      <c r="Y19" s="4">
        <f t="shared" si="5"/>
        <v>2023</v>
      </c>
      <c r="Z19" s="4" t="str">
        <f t="shared" si="6"/>
        <v>2023-02</v>
      </c>
      <c r="AA19" s="4" t="str">
        <f t="shared" si="7"/>
        <v>Feb,2023</v>
      </c>
    </row>
    <row r="20" spans="1:27" x14ac:dyDescent="0.25">
      <c r="A20" s="7" t="s">
        <v>145</v>
      </c>
      <c r="B20" s="16">
        <v>44981</v>
      </c>
      <c r="C20" s="11">
        <v>44952</v>
      </c>
      <c r="D20" s="4" t="str">
        <f>IF(F20="","Unknown",IFERROR(VLOOKUP(F20,lookup!$A:$B,2,FALSE),"Unknown"))</f>
        <v>Europe</v>
      </c>
      <c r="E20" s="7" t="s">
        <v>81</v>
      </c>
      <c r="F20" s="7" t="s">
        <v>146</v>
      </c>
      <c r="G20" s="7" t="s">
        <v>147</v>
      </c>
      <c r="H20" s="7" t="s">
        <v>23</v>
      </c>
      <c r="I20" s="7" t="s">
        <v>55</v>
      </c>
      <c r="J20" s="7" t="s">
        <v>148</v>
      </c>
      <c r="K20" s="7">
        <v>58000</v>
      </c>
      <c r="L20" s="7">
        <v>1</v>
      </c>
      <c r="M20" s="7">
        <v>0.25</v>
      </c>
      <c r="N20" s="7">
        <v>-5000</v>
      </c>
      <c r="O20" s="7" t="s">
        <v>149</v>
      </c>
      <c r="P20" s="7" t="s">
        <v>150</v>
      </c>
      <c r="Q20" s="7" t="s">
        <v>38</v>
      </c>
      <c r="R20" s="7" t="s">
        <v>29</v>
      </c>
      <c r="S20" s="5">
        <f t="shared" si="0"/>
        <v>644.94606916490602</v>
      </c>
      <c r="T20" s="4">
        <v>89.93</v>
      </c>
      <c r="U20" s="4" t="str">
        <f t="shared" si="1"/>
        <v>Technology</v>
      </c>
      <c r="V20" s="4" t="str">
        <f t="shared" si="2"/>
        <v>Phones</v>
      </c>
      <c r="W20" s="9">
        <f t="shared" si="3"/>
        <v>-11.6</v>
      </c>
      <c r="X20" s="4">
        <f t="shared" si="4"/>
        <v>14500</v>
      </c>
      <c r="Y20" s="4">
        <f t="shared" si="5"/>
        <v>2023</v>
      </c>
      <c r="Z20" s="4" t="str">
        <f t="shared" si="6"/>
        <v>2023-02</v>
      </c>
      <c r="AA20" s="4" t="str">
        <f t="shared" si="7"/>
        <v>Feb,2023</v>
      </c>
    </row>
    <row r="21" spans="1:27" x14ac:dyDescent="0.25">
      <c r="A21" s="7" t="s">
        <v>151</v>
      </c>
      <c r="B21" s="16">
        <v>44983</v>
      </c>
      <c r="C21" s="11">
        <v>44953</v>
      </c>
      <c r="D21" s="4" t="str">
        <f>IF(F21="","Unknown",IFERROR(VLOOKUP(F21,lookup!$A:$B,2,FALSE),"Unknown"))</f>
        <v>APAC</v>
      </c>
      <c r="E21" s="7" t="s">
        <v>20</v>
      </c>
      <c r="F21" s="7" t="s">
        <v>21</v>
      </c>
      <c r="G21" s="7" t="s">
        <v>152</v>
      </c>
      <c r="H21" s="7" t="s">
        <v>44</v>
      </c>
      <c r="I21" s="7" t="s">
        <v>76</v>
      </c>
      <c r="J21" s="7" t="s">
        <v>153</v>
      </c>
      <c r="K21" s="7">
        <v>850</v>
      </c>
      <c r="L21" s="7">
        <v>2</v>
      </c>
      <c r="M21" s="7">
        <v>0</v>
      </c>
      <c r="N21" s="7">
        <v>150</v>
      </c>
      <c r="O21" s="7" t="s">
        <v>154</v>
      </c>
      <c r="P21" s="7" t="s">
        <v>155</v>
      </c>
      <c r="Q21" s="7" t="s">
        <v>38</v>
      </c>
      <c r="R21" s="7" t="s">
        <v>50</v>
      </c>
      <c r="S21" s="5">
        <f t="shared" si="0"/>
        <v>9.4517958412098295</v>
      </c>
      <c r="T21" s="4">
        <v>89.93</v>
      </c>
      <c r="U21" s="4" t="str">
        <f t="shared" si="1"/>
        <v>Office Supplies</v>
      </c>
      <c r="V21" s="4" t="str">
        <f t="shared" si="2"/>
        <v>Binders</v>
      </c>
      <c r="W21" s="9">
        <f t="shared" si="3"/>
        <v>5.666666666666667</v>
      </c>
      <c r="X21" s="4">
        <f t="shared" si="4"/>
        <v>0</v>
      </c>
      <c r="Y21" s="4">
        <f t="shared" si="5"/>
        <v>2023</v>
      </c>
      <c r="Z21" s="4" t="str">
        <f t="shared" si="6"/>
        <v>2023-02</v>
      </c>
      <c r="AA21" s="4" t="str">
        <f t="shared" si="7"/>
        <v>Feb,2023</v>
      </c>
    </row>
    <row r="22" spans="1:27" x14ac:dyDescent="0.25">
      <c r="A22" s="7" t="s">
        <v>156</v>
      </c>
      <c r="B22" s="16">
        <v>44988</v>
      </c>
      <c r="C22" s="11">
        <v>44954</v>
      </c>
      <c r="D22" s="4" t="str">
        <f>IF(F22="","Unknown",IFERROR(VLOOKUP(F22,lookup!$A:$B,2,FALSE),"Unknown"))</f>
        <v>US</v>
      </c>
      <c r="E22" s="7" t="s">
        <v>53</v>
      </c>
      <c r="F22" s="7" t="s">
        <v>157</v>
      </c>
      <c r="G22" s="7" t="s">
        <v>158</v>
      </c>
      <c r="H22" s="7" t="s">
        <v>23</v>
      </c>
      <c r="I22" s="7" t="s">
        <v>24</v>
      </c>
      <c r="J22" s="7" t="s">
        <v>159</v>
      </c>
      <c r="K22" s="7">
        <v>105000</v>
      </c>
      <c r="L22" s="7">
        <v>1</v>
      </c>
      <c r="M22" s="7">
        <v>0.1</v>
      </c>
      <c r="N22" s="7">
        <v>8000</v>
      </c>
      <c r="O22" s="7" t="s">
        <v>160</v>
      </c>
      <c r="P22" s="7" t="s">
        <v>161</v>
      </c>
      <c r="Q22" s="7" t="s">
        <v>28</v>
      </c>
      <c r="R22" s="7" t="s">
        <v>59</v>
      </c>
      <c r="S22" s="5">
        <f t="shared" si="0"/>
        <v>1167.5747803847437</v>
      </c>
      <c r="T22" s="4">
        <v>89.93</v>
      </c>
      <c r="U22" s="4" t="str">
        <f t="shared" si="1"/>
        <v>Technology</v>
      </c>
      <c r="V22" s="4" t="str">
        <f t="shared" si="2"/>
        <v>Laptops</v>
      </c>
      <c r="W22" s="9">
        <f t="shared" si="3"/>
        <v>13.125</v>
      </c>
      <c r="X22" s="4">
        <f t="shared" si="4"/>
        <v>10500</v>
      </c>
      <c r="Y22" s="4">
        <f t="shared" si="5"/>
        <v>2023</v>
      </c>
      <c r="Z22" s="4" t="str">
        <f t="shared" si="6"/>
        <v>2023-03</v>
      </c>
      <c r="AA22" s="4" t="str">
        <f t="shared" si="7"/>
        <v>Mar,2023</v>
      </c>
    </row>
    <row r="23" spans="1:27" x14ac:dyDescent="0.25">
      <c r="A23" s="7" t="s">
        <v>162</v>
      </c>
      <c r="B23" s="16">
        <v>44989</v>
      </c>
      <c r="C23" s="11">
        <v>44955</v>
      </c>
      <c r="D23" s="4" t="str">
        <f>IF(F23="","Unknown",IFERROR(VLOOKUP(F23,lookup!$A:$B,2,FALSE),"Unknown"))</f>
        <v>APAC</v>
      </c>
      <c r="E23" s="7" t="s">
        <v>20</v>
      </c>
      <c r="F23" s="7" t="s">
        <v>163</v>
      </c>
      <c r="G23" s="7" t="s">
        <v>164</v>
      </c>
      <c r="H23" s="7" t="s">
        <v>33</v>
      </c>
      <c r="I23" s="7" t="s">
        <v>34</v>
      </c>
      <c r="J23" s="7" t="s">
        <v>165</v>
      </c>
      <c r="K23" s="7">
        <v>1100</v>
      </c>
      <c r="L23" s="7">
        <v>3</v>
      </c>
      <c r="M23" s="7">
        <v>0.2</v>
      </c>
      <c r="N23" s="7">
        <v>-200</v>
      </c>
      <c r="O23" s="7" t="s">
        <v>166</v>
      </c>
      <c r="P23" s="7" t="s">
        <v>167</v>
      </c>
      <c r="Q23" s="7" t="s">
        <v>38</v>
      </c>
      <c r="R23" s="7" t="s">
        <v>29</v>
      </c>
      <c r="S23" s="5">
        <f t="shared" si="0"/>
        <v>12.231735794506838</v>
      </c>
      <c r="T23" s="4">
        <v>89.93</v>
      </c>
      <c r="U23" s="4" t="str">
        <f t="shared" si="1"/>
        <v>Furniture</v>
      </c>
      <c r="V23" s="4" t="str">
        <f t="shared" si="2"/>
        <v>Chairs</v>
      </c>
      <c r="W23" s="9">
        <f t="shared" si="3"/>
        <v>-5.5</v>
      </c>
      <c r="X23" s="4">
        <f t="shared" si="4"/>
        <v>220</v>
      </c>
      <c r="Y23" s="4">
        <f t="shared" si="5"/>
        <v>2023</v>
      </c>
      <c r="Z23" s="4" t="str">
        <f t="shared" si="6"/>
        <v>2023-03</v>
      </c>
      <c r="AA23" s="4" t="str">
        <f t="shared" si="7"/>
        <v>Mar,2023</v>
      </c>
    </row>
    <row r="24" spans="1:27" x14ac:dyDescent="0.25">
      <c r="A24" s="7" t="s">
        <v>168</v>
      </c>
      <c r="B24" s="16">
        <v>44990</v>
      </c>
      <c r="C24" s="11">
        <v>44956</v>
      </c>
      <c r="D24" s="4" t="str">
        <f>IF(F24="","Unknown",IFERROR(VLOOKUP(F24,lookup!$A:$B,2,FALSE),"Unknown"))</f>
        <v>Europe</v>
      </c>
      <c r="E24" s="7" t="s">
        <v>41</v>
      </c>
      <c r="F24" s="7" t="s">
        <v>169</v>
      </c>
      <c r="G24" s="7" t="s">
        <v>169</v>
      </c>
      <c r="H24" s="7" t="s">
        <v>23</v>
      </c>
      <c r="I24" s="7" t="s">
        <v>69</v>
      </c>
      <c r="J24" s="7" t="s">
        <v>170</v>
      </c>
      <c r="K24" s="7">
        <v>5400</v>
      </c>
      <c r="L24" s="7">
        <v>1</v>
      </c>
      <c r="M24" s="7">
        <v>0.15</v>
      </c>
      <c r="N24" s="7">
        <v>300</v>
      </c>
      <c r="O24" s="7" t="s">
        <v>171</v>
      </c>
      <c r="P24" s="7" t="s">
        <v>172</v>
      </c>
      <c r="Q24" s="7" t="s">
        <v>28</v>
      </c>
      <c r="R24" s="7" t="s">
        <v>50</v>
      </c>
      <c r="S24" s="5">
        <f t="shared" si="0"/>
        <v>60.046702991215383</v>
      </c>
      <c r="T24" s="4">
        <v>89.93</v>
      </c>
      <c r="U24" s="4" t="str">
        <f t="shared" si="1"/>
        <v>Technology</v>
      </c>
      <c r="V24" s="4" t="str">
        <f t="shared" si="2"/>
        <v>Accessories</v>
      </c>
      <c r="W24" s="9">
        <f t="shared" si="3"/>
        <v>18</v>
      </c>
      <c r="X24" s="4">
        <f t="shared" si="4"/>
        <v>810</v>
      </c>
      <c r="Y24" s="4">
        <f t="shared" si="5"/>
        <v>2023</v>
      </c>
      <c r="Z24" s="4" t="str">
        <f t="shared" si="6"/>
        <v>2023-03</v>
      </c>
      <c r="AA24" s="4" t="str">
        <f t="shared" si="7"/>
        <v>Mar,2023</v>
      </c>
    </row>
    <row r="25" spans="1:27" x14ac:dyDescent="0.25">
      <c r="A25" s="7" t="s">
        <v>173</v>
      </c>
      <c r="B25" s="16">
        <v>44992</v>
      </c>
      <c r="C25" s="11">
        <v>44957</v>
      </c>
      <c r="D25" s="4" t="str">
        <f>IF(F25="","Unknown",IFERROR(VLOOKUP(F25,lookup!$A:$B,2,FALSE),"Unknown"))</f>
        <v>APAC</v>
      </c>
      <c r="E25" s="7" t="s">
        <v>20</v>
      </c>
      <c r="F25" s="7" t="s">
        <v>174</v>
      </c>
      <c r="G25" s="7" t="s">
        <v>175</v>
      </c>
      <c r="H25" s="7" t="s">
        <v>44</v>
      </c>
      <c r="I25" s="7" t="s">
        <v>45</v>
      </c>
      <c r="J25" s="7" t="s">
        <v>176</v>
      </c>
      <c r="K25" s="7">
        <v>280</v>
      </c>
      <c r="L25" s="7">
        <v>4</v>
      </c>
      <c r="M25" s="7">
        <v>0</v>
      </c>
      <c r="N25" s="7">
        <v>120</v>
      </c>
      <c r="O25" s="7" t="s">
        <v>177</v>
      </c>
      <c r="P25" s="7" t="s">
        <v>178</v>
      </c>
      <c r="Q25" s="7" t="s">
        <v>38</v>
      </c>
      <c r="R25" s="7" t="s">
        <v>29</v>
      </c>
      <c r="S25" s="5">
        <f t="shared" si="0"/>
        <v>3.1135327476926498</v>
      </c>
      <c r="T25" s="4">
        <v>89.93</v>
      </c>
      <c r="U25" s="4" t="str">
        <f t="shared" si="1"/>
        <v>Office Supplies</v>
      </c>
      <c r="V25" s="4" t="str">
        <f t="shared" si="2"/>
        <v>Paper</v>
      </c>
      <c r="W25" s="9">
        <f t="shared" si="3"/>
        <v>2.3333333333333335</v>
      </c>
      <c r="X25" s="4">
        <f t="shared" si="4"/>
        <v>0</v>
      </c>
      <c r="Y25" s="4">
        <f t="shared" si="5"/>
        <v>2023</v>
      </c>
      <c r="Z25" s="4" t="str">
        <f t="shared" si="6"/>
        <v>2023-03</v>
      </c>
      <c r="AA25" s="4" t="str">
        <f t="shared" si="7"/>
        <v>Mar,2023</v>
      </c>
    </row>
    <row r="26" spans="1:27" x14ac:dyDescent="0.25">
      <c r="A26" s="7" t="s">
        <v>179</v>
      </c>
      <c r="B26" s="16">
        <v>44993</v>
      </c>
      <c r="C26" s="11">
        <v>44958</v>
      </c>
      <c r="D26" s="4" t="str">
        <f>IF(F26="","Unknown",IFERROR(VLOOKUP(F26,lookup!$A:$B,2,FALSE),"Unknown"))</f>
        <v>US</v>
      </c>
      <c r="E26" s="7" t="s">
        <v>53</v>
      </c>
      <c r="F26" s="7" t="s">
        <v>180</v>
      </c>
      <c r="G26" s="7" t="s">
        <v>181</v>
      </c>
      <c r="H26" s="7" t="s">
        <v>33</v>
      </c>
      <c r="I26" s="7" t="s">
        <v>63</v>
      </c>
      <c r="J26" s="7" t="s">
        <v>182</v>
      </c>
      <c r="K26" s="7">
        <v>32000</v>
      </c>
      <c r="L26" s="7">
        <v>1</v>
      </c>
      <c r="M26" s="7">
        <v>0.1</v>
      </c>
      <c r="N26" s="7">
        <v>1800</v>
      </c>
      <c r="O26" s="7" t="s">
        <v>183</v>
      </c>
      <c r="P26" s="7" t="s">
        <v>184</v>
      </c>
      <c r="Q26" s="7" t="s">
        <v>49</v>
      </c>
      <c r="R26" s="7" t="s">
        <v>50</v>
      </c>
      <c r="S26" s="5">
        <f t="shared" si="0"/>
        <v>355.8323140220171</v>
      </c>
      <c r="T26" s="4">
        <v>89.93</v>
      </c>
      <c r="U26" s="4" t="str">
        <f t="shared" si="1"/>
        <v>Furniture</v>
      </c>
      <c r="V26" s="4" t="str">
        <f t="shared" si="2"/>
        <v>Tables</v>
      </c>
      <c r="W26" s="9">
        <f t="shared" si="3"/>
        <v>17.777777777777779</v>
      </c>
      <c r="X26" s="4">
        <f t="shared" si="4"/>
        <v>3200</v>
      </c>
      <c r="Y26" s="4">
        <f t="shared" si="5"/>
        <v>2023</v>
      </c>
      <c r="Z26" s="4" t="str">
        <f t="shared" si="6"/>
        <v>2023-03</v>
      </c>
      <c r="AA26" s="4" t="str">
        <f t="shared" si="7"/>
        <v>Mar,2023</v>
      </c>
    </row>
    <row r="27" spans="1:27" x14ac:dyDescent="0.25">
      <c r="A27" s="7" t="s">
        <v>185</v>
      </c>
      <c r="B27" s="16">
        <v>44996</v>
      </c>
      <c r="C27" s="11">
        <v>44959</v>
      </c>
      <c r="D27" s="4" t="str">
        <f>IF(F27="","Unknown",IFERROR(VLOOKUP(F27,lookup!$A:$B,2,FALSE),"Unknown"))</f>
        <v>APAC</v>
      </c>
      <c r="E27" s="7" t="s">
        <v>20</v>
      </c>
      <c r="F27" s="7" t="s">
        <v>74</v>
      </c>
      <c r="G27" s="7" t="s">
        <v>75</v>
      </c>
      <c r="H27" s="7" t="s">
        <v>23</v>
      </c>
      <c r="I27" s="7" t="s">
        <v>55</v>
      </c>
      <c r="J27" s="7" t="s">
        <v>186</v>
      </c>
      <c r="K27" s="7">
        <v>24000</v>
      </c>
      <c r="L27" s="7">
        <v>1</v>
      </c>
      <c r="M27" s="7">
        <v>0.3</v>
      </c>
      <c r="N27" s="7">
        <v>-3000</v>
      </c>
      <c r="O27" s="7" t="s">
        <v>187</v>
      </c>
      <c r="P27" s="7" t="s">
        <v>188</v>
      </c>
      <c r="Q27" s="7" t="s">
        <v>38</v>
      </c>
      <c r="R27" s="7" t="s">
        <v>29</v>
      </c>
      <c r="S27" s="5">
        <f t="shared" si="0"/>
        <v>266.87423551651284</v>
      </c>
      <c r="T27" s="4">
        <v>89.93</v>
      </c>
      <c r="U27" s="4" t="str">
        <f t="shared" si="1"/>
        <v>Technology</v>
      </c>
      <c r="V27" s="4" t="str">
        <f t="shared" si="2"/>
        <v>Phones</v>
      </c>
      <c r="W27" s="9">
        <f t="shared" si="3"/>
        <v>-8</v>
      </c>
      <c r="X27" s="4">
        <f t="shared" si="4"/>
        <v>7200</v>
      </c>
      <c r="Y27" s="4">
        <f t="shared" si="5"/>
        <v>2023</v>
      </c>
      <c r="Z27" s="4" t="str">
        <f t="shared" si="6"/>
        <v>2023-03</v>
      </c>
      <c r="AA27" s="4" t="str">
        <f t="shared" si="7"/>
        <v>Mar,2023</v>
      </c>
    </row>
    <row r="28" spans="1:27" x14ac:dyDescent="0.25">
      <c r="A28" s="7" t="s">
        <v>189</v>
      </c>
      <c r="B28" s="16">
        <v>44999</v>
      </c>
      <c r="C28" s="11">
        <v>44960</v>
      </c>
      <c r="D28" s="4" t="str">
        <f>IF(F28="","Unknown",IFERROR(VLOOKUP(F28,lookup!$A:$B,2,FALSE),"Unknown"))</f>
        <v>Europe</v>
      </c>
      <c r="E28" s="7" t="s">
        <v>190</v>
      </c>
      <c r="F28" s="7" t="s">
        <v>191</v>
      </c>
      <c r="G28" s="7" t="s">
        <v>192</v>
      </c>
      <c r="H28" s="7" t="s">
        <v>33</v>
      </c>
      <c r="I28" s="7" t="s">
        <v>34</v>
      </c>
      <c r="J28" s="7" t="s">
        <v>193</v>
      </c>
      <c r="K28" s="7">
        <v>17000</v>
      </c>
      <c r="L28" s="7">
        <v>1</v>
      </c>
      <c r="M28" s="7">
        <v>0.2</v>
      </c>
      <c r="N28" s="7">
        <v>-2000</v>
      </c>
      <c r="O28" s="7" t="s">
        <v>194</v>
      </c>
      <c r="P28" s="7" t="s">
        <v>195</v>
      </c>
      <c r="Q28" s="7" t="s">
        <v>28</v>
      </c>
      <c r="R28" s="7" t="s">
        <v>50</v>
      </c>
      <c r="S28" s="5">
        <f t="shared" si="0"/>
        <v>189.03591682419659</v>
      </c>
      <c r="T28" s="4">
        <v>89.93</v>
      </c>
      <c r="U28" s="4" t="str">
        <f t="shared" si="1"/>
        <v>Furniture</v>
      </c>
      <c r="V28" s="4" t="str">
        <f t="shared" si="2"/>
        <v>Chairs</v>
      </c>
      <c r="W28" s="9">
        <f t="shared" si="3"/>
        <v>-8.5</v>
      </c>
      <c r="X28" s="4">
        <f t="shared" si="4"/>
        <v>3400</v>
      </c>
      <c r="Y28" s="4">
        <f t="shared" si="5"/>
        <v>2023</v>
      </c>
      <c r="Z28" s="4" t="str">
        <f t="shared" si="6"/>
        <v>2023-03</v>
      </c>
      <c r="AA28" s="4" t="str">
        <f t="shared" si="7"/>
        <v>Mar,2023</v>
      </c>
    </row>
    <row r="29" spans="1:27" x14ac:dyDescent="0.25">
      <c r="A29" s="7" t="s">
        <v>196</v>
      </c>
      <c r="B29" s="16">
        <v>45001</v>
      </c>
      <c r="C29" s="11">
        <v>44961</v>
      </c>
      <c r="D29" s="4" t="str">
        <f>IF(F29="","Unknown",IFERROR(VLOOKUP(F29,lookup!$A:$B,2,FALSE),"Unknown"))</f>
        <v>APAC</v>
      </c>
      <c r="E29" s="7" t="s">
        <v>20</v>
      </c>
      <c r="F29" s="7" t="s">
        <v>95</v>
      </c>
      <c r="G29" s="7" t="s">
        <v>197</v>
      </c>
      <c r="H29" s="7" t="s">
        <v>44</v>
      </c>
      <c r="I29" s="7" t="s">
        <v>76</v>
      </c>
      <c r="J29" s="7" t="s">
        <v>198</v>
      </c>
      <c r="K29" s="7">
        <v>780</v>
      </c>
      <c r="L29" s="7">
        <v>3</v>
      </c>
      <c r="M29" s="7">
        <v>0.1</v>
      </c>
      <c r="N29" s="7">
        <v>50</v>
      </c>
      <c r="O29" s="7" t="s">
        <v>199</v>
      </c>
      <c r="P29" s="7" t="s">
        <v>200</v>
      </c>
      <c r="Q29" s="7" t="s">
        <v>38</v>
      </c>
      <c r="R29" s="7" t="s">
        <v>29</v>
      </c>
      <c r="S29" s="5">
        <f t="shared" si="0"/>
        <v>8.6734126542866665</v>
      </c>
      <c r="T29" s="4">
        <v>89.93</v>
      </c>
      <c r="U29" s="4" t="str">
        <f t="shared" si="1"/>
        <v>Office Supplies</v>
      </c>
      <c r="V29" s="4" t="str">
        <f t="shared" si="2"/>
        <v>Binders</v>
      </c>
      <c r="W29" s="9">
        <f t="shared" si="3"/>
        <v>15.6</v>
      </c>
      <c r="X29" s="4">
        <f t="shared" si="4"/>
        <v>78</v>
      </c>
      <c r="Y29" s="4">
        <f t="shared" si="5"/>
        <v>2023</v>
      </c>
      <c r="Z29" s="4" t="str">
        <f t="shared" si="6"/>
        <v>2023-03</v>
      </c>
      <c r="AA29" s="4" t="str">
        <f t="shared" si="7"/>
        <v>Mar,2023</v>
      </c>
    </row>
    <row r="30" spans="1:27" x14ac:dyDescent="0.25">
      <c r="A30" s="7" t="s">
        <v>201</v>
      </c>
      <c r="B30" s="16">
        <v>45003</v>
      </c>
      <c r="C30" s="11">
        <v>44962</v>
      </c>
      <c r="D30" s="4" t="str">
        <f>IF(F30="","Unknown",IFERROR(VLOOKUP(F30,lookup!$A:$B,2,FALSE),"Unknown"))</f>
        <v>US</v>
      </c>
      <c r="E30" s="7" t="s">
        <v>53</v>
      </c>
      <c r="F30" s="7" t="s">
        <v>54</v>
      </c>
      <c r="G30" s="7" t="s">
        <v>202</v>
      </c>
      <c r="H30" s="7" t="s">
        <v>23</v>
      </c>
      <c r="I30" s="7" t="s">
        <v>69</v>
      </c>
      <c r="J30" s="7" t="s">
        <v>203</v>
      </c>
      <c r="K30" s="7">
        <v>21000</v>
      </c>
      <c r="L30" s="7">
        <v>1</v>
      </c>
      <c r="M30" s="7">
        <v>0.05</v>
      </c>
      <c r="N30" s="7">
        <v>1500</v>
      </c>
      <c r="O30" s="7" t="s">
        <v>204</v>
      </c>
      <c r="P30" s="7" t="s">
        <v>205</v>
      </c>
      <c r="Q30" s="7" t="s">
        <v>49</v>
      </c>
      <c r="R30" s="7" t="s">
        <v>59</v>
      </c>
      <c r="S30" s="5">
        <f t="shared" si="0"/>
        <v>233.51495607694872</v>
      </c>
      <c r="T30" s="4">
        <v>89.93</v>
      </c>
      <c r="U30" s="4" t="str">
        <f t="shared" si="1"/>
        <v>Technology</v>
      </c>
      <c r="V30" s="4" t="str">
        <f t="shared" si="2"/>
        <v>Accessories</v>
      </c>
      <c r="W30" s="9">
        <f t="shared" si="3"/>
        <v>14</v>
      </c>
      <c r="X30" s="4">
        <f t="shared" si="4"/>
        <v>1050</v>
      </c>
      <c r="Y30" s="4">
        <f t="shared" si="5"/>
        <v>2023</v>
      </c>
      <c r="Z30" s="4" t="str">
        <f t="shared" si="6"/>
        <v>2023-03</v>
      </c>
      <c r="AA30" s="4" t="str">
        <f t="shared" si="7"/>
        <v>Mar,2023</v>
      </c>
    </row>
    <row r="31" spans="1:27" x14ac:dyDescent="0.25">
      <c r="A31" s="7" t="s">
        <v>206</v>
      </c>
      <c r="B31" s="16">
        <v>45005</v>
      </c>
      <c r="C31" s="11">
        <v>44963</v>
      </c>
      <c r="D31" s="4" t="str">
        <f>IF(F31="","Unknown",IFERROR(VLOOKUP(F31,lookup!$A:$B,2,FALSE),"Unknown"))</f>
        <v>Europe</v>
      </c>
      <c r="E31" s="7" t="s">
        <v>207</v>
      </c>
      <c r="F31" s="7" t="s">
        <v>208</v>
      </c>
      <c r="G31" s="7" t="s">
        <v>208</v>
      </c>
      <c r="H31" s="7" t="s">
        <v>23</v>
      </c>
      <c r="I31" s="7" t="s">
        <v>55</v>
      </c>
      <c r="J31" s="7" t="s">
        <v>209</v>
      </c>
      <c r="K31" s="7">
        <v>41000</v>
      </c>
      <c r="L31" s="7">
        <v>1</v>
      </c>
      <c r="M31" s="7">
        <v>0.2</v>
      </c>
      <c r="N31" s="7">
        <v>-2000</v>
      </c>
      <c r="O31" s="7" t="s">
        <v>210</v>
      </c>
      <c r="P31" s="7" t="s">
        <v>211</v>
      </c>
      <c r="Q31" s="7" t="s">
        <v>38</v>
      </c>
      <c r="R31" s="7" t="s">
        <v>29</v>
      </c>
      <c r="S31" s="5">
        <f t="shared" si="0"/>
        <v>455.91015234070943</v>
      </c>
      <c r="T31" s="4">
        <v>89.93</v>
      </c>
      <c r="U31" s="4" t="str">
        <f t="shared" si="1"/>
        <v>Technology</v>
      </c>
      <c r="V31" s="4" t="str">
        <f t="shared" si="2"/>
        <v>Phones</v>
      </c>
      <c r="W31" s="9">
        <f t="shared" si="3"/>
        <v>-20.5</v>
      </c>
      <c r="X31" s="4">
        <f t="shared" si="4"/>
        <v>8200</v>
      </c>
      <c r="Y31" s="4">
        <f t="shared" si="5"/>
        <v>2023</v>
      </c>
      <c r="Z31" s="4" t="str">
        <f t="shared" si="6"/>
        <v>2023-03</v>
      </c>
      <c r="AA31" s="4" t="str">
        <f t="shared" si="7"/>
        <v>Mar,2023</v>
      </c>
    </row>
    <row r="32" spans="1:27" x14ac:dyDescent="0.25">
      <c r="A32" s="7" t="s">
        <v>212</v>
      </c>
      <c r="B32" s="16">
        <v>45007</v>
      </c>
      <c r="C32" s="11">
        <v>44964</v>
      </c>
      <c r="D32" s="4" t="str">
        <f>IF(F32="","Unknown",IFERROR(VLOOKUP(F32,lookup!$A:$B,2,FALSE),"Unknown"))</f>
        <v>APAC</v>
      </c>
      <c r="E32" s="7" t="s">
        <v>20</v>
      </c>
      <c r="F32" s="7" t="s">
        <v>68</v>
      </c>
      <c r="G32" s="7" t="s">
        <v>68</v>
      </c>
      <c r="H32" s="7" t="s">
        <v>44</v>
      </c>
      <c r="I32" s="7" t="s">
        <v>45</v>
      </c>
      <c r="J32" s="7" t="s">
        <v>213</v>
      </c>
      <c r="K32" s="7">
        <v>300</v>
      </c>
      <c r="L32" s="7">
        <v>5</v>
      </c>
      <c r="M32" s="7">
        <v>0</v>
      </c>
      <c r="N32" s="7">
        <v>140</v>
      </c>
      <c r="O32" s="7" t="s">
        <v>214</v>
      </c>
      <c r="P32" s="7" t="s">
        <v>215</v>
      </c>
      <c r="Q32" s="7" t="s">
        <v>49</v>
      </c>
      <c r="R32" s="7" t="s">
        <v>50</v>
      </c>
      <c r="S32" s="5">
        <f t="shared" si="0"/>
        <v>3.3359279439564102</v>
      </c>
      <c r="T32" s="4">
        <v>89.93</v>
      </c>
      <c r="U32" s="4" t="str">
        <f t="shared" si="1"/>
        <v>Office Supplies</v>
      </c>
      <c r="V32" s="4" t="str">
        <f t="shared" si="2"/>
        <v>Paper</v>
      </c>
      <c r="W32" s="9">
        <f t="shared" si="3"/>
        <v>2.1428571428571428</v>
      </c>
      <c r="X32" s="4">
        <f t="shared" si="4"/>
        <v>0</v>
      </c>
      <c r="Y32" s="4">
        <f t="shared" si="5"/>
        <v>2023</v>
      </c>
      <c r="Z32" s="4" t="str">
        <f t="shared" si="6"/>
        <v>2023-03</v>
      </c>
      <c r="AA32" s="4" t="str">
        <f t="shared" si="7"/>
        <v>Mar,2023</v>
      </c>
    </row>
    <row r="33" spans="1:27" x14ac:dyDescent="0.25">
      <c r="A33" s="7" t="s">
        <v>216</v>
      </c>
      <c r="B33" s="16">
        <v>45010</v>
      </c>
      <c r="C33" s="11">
        <v>44965</v>
      </c>
      <c r="D33" s="4" t="str">
        <f>IF(F33="","Unknown",IFERROR(VLOOKUP(F33,lookup!$A:$B,2,FALSE),"Unknown"))</f>
        <v>APAC</v>
      </c>
      <c r="E33" s="7" t="s">
        <v>20</v>
      </c>
      <c r="F33" s="7" t="s">
        <v>217</v>
      </c>
      <c r="G33" s="7" t="s">
        <v>218</v>
      </c>
      <c r="H33" s="7" t="s">
        <v>33</v>
      </c>
      <c r="I33" s="7" t="s">
        <v>84</v>
      </c>
      <c r="J33" s="7" t="s">
        <v>219</v>
      </c>
      <c r="K33" s="7">
        <v>2200</v>
      </c>
      <c r="L33" s="7">
        <v>1</v>
      </c>
      <c r="M33" s="7">
        <v>0.15</v>
      </c>
      <c r="N33" s="7">
        <v>-150</v>
      </c>
      <c r="O33" s="7" t="s">
        <v>220</v>
      </c>
      <c r="P33" s="7" t="s">
        <v>221</v>
      </c>
      <c r="Q33" s="7" t="s">
        <v>38</v>
      </c>
      <c r="R33" s="7" t="s">
        <v>29</v>
      </c>
      <c r="S33" s="5">
        <f t="shared" si="0"/>
        <v>24.463471589013675</v>
      </c>
      <c r="T33" s="4">
        <v>89.93</v>
      </c>
      <c r="U33" s="4" t="str">
        <f t="shared" si="1"/>
        <v>Furniture</v>
      </c>
      <c r="V33" s="4" t="str">
        <f t="shared" si="2"/>
        <v>Furnishings</v>
      </c>
      <c r="W33" s="9">
        <f t="shared" si="3"/>
        <v>-14.666666666666666</v>
      </c>
      <c r="X33" s="4">
        <f t="shared" si="4"/>
        <v>330</v>
      </c>
      <c r="Y33" s="4">
        <f t="shared" si="5"/>
        <v>2023</v>
      </c>
      <c r="Z33" s="4" t="str">
        <f t="shared" si="6"/>
        <v>2023-03</v>
      </c>
      <c r="AA33" s="4" t="str">
        <f t="shared" si="7"/>
        <v>Mar,2023</v>
      </c>
    </row>
    <row r="34" spans="1:27" x14ac:dyDescent="0.25">
      <c r="A34" s="7" t="s">
        <v>222</v>
      </c>
      <c r="B34" s="16">
        <v>45012</v>
      </c>
      <c r="C34" s="11">
        <v>44966</v>
      </c>
      <c r="D34" s="4" t="str">
        <f>IF(F34="","Unknown",IFERROR(VLOOKUP(F34,lookup!$A:$B,2,FALSE),"Unknown"))</f>
        <v>US</v>
      </c>
      <c r="E34" s="7" t="s">
        <v>53</v>
      </c>
      <c r="F34" s="7" t="s">
        <v>61</v>
      </c>
      <c r="G34" s="7" t="s">
        <v>223</v>
      </c>
      <c r="H34" s="7" t="s">
        <v>23</v>
      </c>
      <c r="I34" s="7" t="s">
        <v>69</v>
      </c>
      <c r="J34" s="7" t="s">
        <v>224</v>
      </c>
      <c r="K34" s="7">
        <v>3200</v>
      </c>
      <c r="L34" s="7">
        <v>1</v>
      </c>
      <c r="M34" s="7">
        <v>0.1</v>
      </c>
      <c r="N34" s="7">
        <v>200</v>
      </c>
      <c r="O34" s="7" t="s">
        <v>225</v>
      </c>
      <c r="P34" s="7" t="s">
        <v>226</v>
      </c>
      <c r="Q34" s="7" t="s">
        <v>28</v>
      </c>
      <c r="R34" s="7" t="s">
        <v>50</v>
      </c>
      <c r="S34" s="5">
        <f t="shared" ref="S34:S51" si="8">K34/$T$2</f>
        <v>35.583231402201712</v>
      </c>
      <c r="T34" s="4">
        <v>89.93</v>
      </c>
      <c r="U34" s="4" t="str">
        <f t="shared" ref="U34:U65" si="9">TRIM(PROPER(H34))</f>
        <v>Technology</v>
      </c>
      <c r="V34" s="4" t="str">
        <f t="shared" ref="V34:V65" si="10">TRIM(PROPER(I34))</f>
        <v>Accessories</v>
      </c>
      <c r="W34" s="9">
        <f t="shared" ref="W34:W51" si="11">IF(K34=0,0,K34/N34)</f>
        <v>16</v>
      </c>
      <c r="X34" s="4">
        <f t="shared" ref="X34:X51" si="12">K34*M34</f>
        <v>320</v>
      </c>
      <c r="Y34" s="4">
        <f t="shared" ref="Y34:Y51" si="13">YEAR(B34)</f>
        <v>2023</v>
      </c>
      <c r="Z34" s="4" t="str">
        <f t="shared" ref="Z34:Z51" si="14">TEXT(B34,"YYYY-MM")</f>
        <v>2023-03</v>
      </c>
      <c r="AA34" s="4" t="str">
        <f t="shared" ref="AA34:AA51" si="15">TEXT(B34,"MMM,YYYY")</f>
        <v>Mar,2023</v>
      </c>
    </row>
    <row r="35" spans="1:27" x14ac:dyDescent="0.25">
      <c r="A35" s="7" t="s">
        <v>227</v>
      </c>
      <c r="B35" s="16">
        <v>45013</v>
      </c>
      <c r="C35" s="11">
        <v>44967</v>
      </c>
      <c r="D35" s="4" t="str">
        <f>IF(F35="","Unknown",IFERROR(VLOOKUP(F35,lookup!$A:$B,2,FALSE),"Unknown"))</f>
        <v>APAC</v>
      </c>
      <c r="E35" s="7" t="s">
        <v>20</v>
      </c>
      <c r="F35" s="7" t="s">
        <v>228</v>
      </c>
      <c r="G35" s="7" t="s">
        <v>229</v>
      </c>
      <c r="H35" s="7" t="s">
        <v>33</v>
      </c>
      <c r="I35" s="7" t="s">
        <v>34</v>
      </c>
      <c r="J35" s="7" t="s">
        <v>230</v>
      </c>
      <c r="K35" s="7">
        <v>5200</v>
      </c>
      <c r="L35" s="7">
        <v>1</v>
      </c>
      <c r="M35" s="7">
        <v>0.2</v>
      </c>
      <c r="N35" s="7">
        <v>-600</v>
      </c>
      <c r="O35" s="7" t="s">
        <v>231</v>
      </c>
      <c r="P35" s="7" t="s">
        <v>232</v>
      </c>
      <c r="Q35" s="7" t="s">
        <v>38</v>
      </c>
      <c r="R35" s="7" t="s">
        <v>29</v>
      </c>
      <c r="S35" s="5">
        <f t="shared" si="8"/>
        <v>57.822751028577777</v>
      </c>
      <c r="T35" s="4">
        <v>89.93</v>
      </c>
      <c r="U35" s="4" t="str">
        <f t="shared" si="9"/>
        <v>Furniture</v>
      </c>
      <c r="V35" s="4" t="str">
        <f t="shared" si="10"/>
        <v>Chairs</v>
      </c>
      <c r="W35" s="9">
        <f t="shared" si="11"/>
        <v>-8.6666666666666661</v>
      </c>
      <c r="X35" s="4">
        <f t="shared" si="12"/>
        <v>1040</v>
      </c>
      <c r="Y35" s="4">
        <f t="shared" si="13"/>
        <v>2023</v>
      </c>
      <c r="Z35" s="4" t="str">
        <f t="shared" si="14"/>
        <v>2023-03</v>
      </c>
      <c r="AA35" s="4" t="str">
        <f t="shared" si="15"/>
        <v>Mar,2023</v>
      </c>
    </row>
    <row r="36" spans="1:27" x14ac:dyDescent="0.25">
      <c r="A36" s="7" t="s">
        <v>233</v>
      </c>
      <c r="B36" s="16">
        <v>45015</v>
      </c>
      <c r="C36" s="11">
        <v>44968</v>
      </c>
      <c r="D36" s="4" t="str">
        <f>IF(F36="","Unknown",IFERROR(VLOOKUP(F36,lookup!$A:$B,2,FALSE),"Unknown"))</f>
        <v>Europe</v>
      </c>
      <c r="E36" s="7" t="s">
        <v>81</v>
      </c>
      <c r="F36" s="7" t="s">
        <v>234</v>
      </c>
      <c r="G36" s="7" t="s">
        <v>235</v>
      </c>
      <c r="H36" s="7" t="s">
        <v>44</v>
      </c>
      <c r="I36" s="7" t="s">
        <v>76</v>
      </c>
      <c r="J36" s="7" t="s">
        <v>236</v>
      </c>
      <c r="K36" s="7">
        <v>1300</v>
      </c>
      <c r="L36" s="7">
        <v>2</v>
      </c>
      <c r="M36" s="7">
        <v>0.2</v>
      </c>
      <c r="N36" s="7">
        <v>-50</v>
      </c>
      <c r="O36" s="7" t="s">
        <v>237</v>
      </c>
      <c r="P36" s="7" t="s">
        <v>238</v>
      </c>
      <c r="Q36" s="7" t="s">
        <v>38</v>
      </c>
      <c r="R36" s="7" t="s">
        <v>50</v>
      </c>
      <c r="S36" s="5">
        <f t="shared" si="8"/>
        <v>14.455687757144444</v>
      </c>
      <c r="T36" s="4">
        <v>89.93</v>
      </c>
      <c r="U36" s="4" t="str">
        <f t="shared" si="9"/>
        <v>Office Supplies</v>
      </c>
      <c r="V36" s="4" t="str">
        <f t="shared" si="10"/>
        <v>Binders</v>
      </c>
      <c r="W36" s="9">
        <f t="shared" si="11"/>
        <v>-26</v>
      </c>
      <c r="X36" s="4">
        <f t="shared" si="12"/>
        <v>260</v>
      </c>
      <c r="Y36" s="4">
        <f t="shared" si="13"/>
        <v>2023</v>
      </c>
      <c r="Z36" s="4" t="str">
        <f t="shared" si="14"/>
        <v>2023-03</v>
      </c>
      <c r="AA36" s="4" t="str">
        <f t="shared" si="15"/>
        <v>Mar,2023</v>
      </c>
    </row>
    <row r="37" spans="1:27" x14ac:dyDescent="0.25">
      <c r="A37" s="7" t="s">
        <v>239</v>
      </c>
      <c r="B37" s="16">
        <v>45017</v>
      </c>
      <c r="C37" s="11">
        <v>44969</v>
      </c>
      <c r="D37" s="4" t="str">
        <f>IF(F37="","Unknown",IFERROR(VLOOKUP(F37,lookup!$A:$B,2,FALSE),"Unknown"))</f>
        <v>APAC</v>
      </c>
      <c r="E37" s="7" t="s">
        <v>20</v>
      </c>
      <c r="F37" s="7" t="s">
        <v>240</v>
      </c>
      <c r="G37" s="7" t="s">
        <v>241</v>
      </c>
      <c r="H37" s="7" t="s">
        <v>23</v>
      </c>
      <c r="I37" s="7" t="s">
        <v>24</v>
      </c>
      <c r="J37" s="7" t="s">
        <v>242</v>
      </c>
      <c r="K37" s="7">
        <v>58000</v>
      </c>
      <c r="L37" s="7">
        <v>1</v>
      </c>
      <c r="M37" s="7">
        <v>0.15</v>
      </c>
      <c r="N37" s="7">
        <v>-2000</v>
      </c>
      <c r="O37" s="7" t="s">
        <v>243</v>
      </c>
      <c r="P37" s="7" t="s">
        <v>244</v>
      </c>
      <c r="Q37" s="7" t="s">
        <v>38</v>
      </c>
      <c r="R37" s="7" t="s">
        <v>29</v>
      </c>
      <c r="S37" s="5">
        <f t="shared" si="8"/>
        <v>644.94606916490602</v>
      </c>
      <c r="T37" s="4">
        <v>89.93</v>
      </c>
      <c r="U37" s="4" t="str">
        <f t="shared" si="9"/>
        <v>Technology</v>
      </c>
      <c r="V37" s="4" t="str">
        <f t="shared" si="10"/>
        <v>Laptops</v>
      </c>
      <c r="W37" s="9">
        <f t="shared" si="11"/>
        <v>-29</v>
      </c>
      <c r="X37" s="4">
        <f t="shared" si="12"/>
        <v>8700</v>
      </c>
      <c r="Y37" s="4">
        <f t="shared" si="13"/>
        <v>2023</v>
      </c>
      <c r="Z37" s="4" t="str">
        <f t="shared" si="14"/>
        <v>2023-04</v>
      </c>
      <c r="AA37" s="4" t="str">
        <f t="shared" si="15"/>
        <v>Apr,2023</v>
      </c>
    </row>
    <row r="38" spans="1:27" x14ac:dyDescent="0.25">
      <c r="A38" s="7" t="s">
        <v>245</v>
      </c>
      <c r="B38" s="16">
        <v>45018</v>
      </c>
      <c r="C38" s="11">
        <v>44970</v>
      </c>
      <c r="D38" s="4" t="str">
        <f>IF(F38="","Unknown",IFERROR(VLOOKUP(F38,lookup!$A:$B,2,FALSE),"Unknown"))</f>
        <v>Europe</v>
      </c>
      <c r="E38" s="7" t="s">
        <v>41</v>
      </c>
      <c r="F38" s="7" t="s">
        <v>169</v>
      </c>
      <c r="G38" s="7" t="s">
        <v>169</v>
      </c>
      <c r="H38" s="7" t="s">
        <v>33</v>
      </c>
      <c r="I38" s="7" t="s">
        <v>63</v>
      </c>
      <c r="J38" s="7" t="s">
        <v>246</v>
      </c>
      <c r="K38" s="7">
        <v>14000</v>
      </c>
      <c r="L38" s="7">
        <v>1</v>
      </c>
      <c r="M38" s="7">
        <v>0.1</v>
      </c>
      <c r="N38" s="7">
        <v>700</v>
      </c>
      <c r="O38" s="7" t="s">
        <v>247</v>
      </c>
      <c r="P38" s="7" t="s">
        <v>248</v>
      </c>
      <c r="Q38" s="7" t="s">
        <v>28</v>
      </c>
      <c r="R38" s="7" t="s">
        <v>50</v>
      </c>
      <c r="S38" s="5">
        <f t="shared" si="8"/>
        <v>155.67663738463247</v>
      </c>
      <c r="T38" s="4">
        <v>89.93</v>
      </c>
      <c r="U38" s="4" t="str">
        <f t="shared" si="9"/>
        <v>Furniture</v>
      </c>
      <c r="V38" s="4" t="str">
        <f t="shared" si="10"/>
        <v>Tables</v>
      </c>
      <c r="W38" s="9">
        <f t="shared" si="11"/>
        <v>20</v>
      </c>
      <c r="X38" s="4">
        <f t="shared" si="12"/>
        <v>1400</v>
      </c>
      <c r="Y38" s="4">
        <f t="shared" si="13"/>
        <v>2023</v>
      </c>
      <c r="Z38" s="4" t="str">
        <f t="shared" si="14"/>
        <v>2023-04</v>
      </c>
      <c r="AA38" s="4" t="str">
        <f t="shared" si="15"/>
        <v>Apr,2023</v>
      </c>
    </row>
    <row r="39" spans="1:27" x14ac:dyDescent="0.25">
      <c r="A39" s="7" t="s">
        <v>249</v>
      </c>
      <c r="B39" s="16">
        <v>45020</v>
      </c>
      <c r="C39" s="11">
        <v>44971</v>
      </c>
      <c r="D39" s="4" t="str">
        <f>IF(F39="","Unknown",IFERROR(VLOOKUP(F39,lookup!$A:$B,2,FALSE),"Unknown"))</f>
        <v>US</v>
      </c>
      <c r="E39" s="7" t="s">
        <v>53</v>
      </c>
      <c r="F39" s="7" t="s">
        <v>89</v>
      </c>
      <c r="G39" s="7" t="s">
        <v>250</v>
      </c>
      <c r="H39" s="7" t="s">
        <v>23</v>
      </c>
      <c r="I39" s="7" t="s">
        <v>55</v>
      </c>
      <c r="J39" s="7" t="s">
        <v>251</v>
      </c>
      <c r="K39" s="7">
        <v>65000</v>
      </c>
      <c r="L39" s="7">
        <v>1</v>
      </c>
      <c r="M39" s="7">
        <v>0.1</v>
      </c>
      <c r="N39" s="7">
        <v>4500</v>
      </c>
      <c r="O39" s="7" t="s">
        <v>252</v>
      </c>
      <c r="P39" s="7" t="s">
        <v>253</v>
      </c>
      <c r="Q39" s="7" t="s">
        <v>49</v>
      </c>
      <c r="R39" s="7" t="s">
        <v>59</v>
      </c>
      <c r="S39" s="5">
        <f t="shared" si="8"/>
        <v>722.78438785722221</v>
      </c>
      <c r="T39" s="4">
        <v>89.93</v>
      </c>
      <c r="U39" s="4" t="str">
        <f t="shared" si="9"/>
        <v>Technology</v>
      </c>
      <c r="V39" s="4" t="str">
        <f t="shared" si="10"/>
        <v>Phones</v>
      </c>
      <c r="W39" s="9">
        <f t="shared" si="11"/>
        <v>14.444444444444445</v>
      </c>
      <c r="X39" s="4">
        <f t="shared" si="12"/>
        <v>6500</v>
      </c>
      <c r="Y39" s="4">
        <f t="shared" si="13"/>
        <v>2023</v>
      </c>
      <c r="Z39" s="4" t="str">
        <f t="shared" si="14"/>
        <v>2023-04</v>
      </c>
      <c r="AA39" s="4" t="str">
        <f t="shared" si="15"/>
        <v>Apr,2023</v>
      </c>
    </row>
    <row r="40" spans="1:27" x14ac:dyDescent="0.25">
      <c r="A40" s="7" t="s">
        <v>254</v>
      </c>
      <c r="B40" s="16">
        <v>45022</v>
      </c>
      <c r="C40" s="11">
        <v>44972</v>
      </c>
      <c r="D40" s="4" t="str">
        <f>IF(F40="","Unknown",IFERROR(VLOOKUP(F40,lookup!$A:$B,2,FALSE),"Unknown"))</f>
        <v>APAC</v>
      </c>
      <c r="E40" s="7" t="s">
        <v>20</v>
      </c>
      <c r="F40" s="7" t="s">
        <v>255</v>
      </c>
      <c r="G40" s="7" t="s">
        <v>256</v>
      </c>
      <c r="H40" s="7" t="s">
        <v>44</v>
      </c>
      <c r="I40" s="7" t="s">
        <v>45</v>
      </c>
      <c r="J40" s="7" t="s">
        <v>257</v>
      </c>
      <c r="K40" s="7">
        <v>310</v>
      </c>
      <c r="L40" s="7">
        <v>3</v>
      </c>
      <c r="M40" s="7">
        <v>0</v>
      </c>
      <c r="N40" s="7">
        <v>80</v>
      </c>
      <c r="O40" s="7" t="s">
        <v>258</v>
      </c>
      <c r="P40" s="7" t="s">
        <v>259</v>
      </c>
      <c r="Q40" s="7" t="s">
        <v>38</v>
      </c>
      <c r="R40" s="7" t="s">
        <v>50</v>
      </c>
      <c r="S40" s="5">
        <f t="shared" si="8"/>
        <v>3.4471255420882905</v>
      </c>
      <c r="T40" s="4">
        <v>89.93</v>
      </c>
      <c r="U40" s="4" t="str">
        <f t="shared" si="9"/>
        <v>Office Supplies</v>
      </c>
      <c r="V40" s="4" t="str">
        <f t="shared" si="10"/>
        <v>Paper</v>
      </c>
      <c r="W40" s="9">
        <f t="shared" si="11"/>
        <v>3.875</v>
      </c>
      <c r="X40" s="4">
        <f t="shared" si="12"/>
        <v>0</v>
      </c>
      <c r="Y40" s="4">
        <f t="shared" si="13"/>
        <v>2023</v>
      </c>
      <c r="Z40" s="4" t="str">
        <f t="shared" si="14"/>
        <v>2023-04</v>
      </c>
      <c r="AA40" s="4" t="str">
        <f t="shared" si="15"/>
        <v>Apr,2023</v>
      </c>
    </row>
    <row r="41" spans="1:27" x14ac:dyDescent="0.25">
      <c r="A41" s="7" t="s">
        <v>260</v>
      </c>
      <c r="B41" s="16">
        <v>45025</v>
      </c>
      <c r="C41" s="11">
        <v>44973</v>
      </c>
      <c r="D41" s="4" t="str">
        <f>IF(F41="","Unknown",IFERROR(VLOOKUP(F41,lookup!$A:$B,2,FALSE),"Unknown"))</f>
        <v>Europe</v>
      </c>
      <c r="E41" s="7" t="s">
        <v>190</v>
      </c>
      <c r="F41" s="7" t="s">
        <v>261</v>
      </c>
      <c r="G41" s="7" t="s">
        <v>262</v>
      </c>
      <c r="H41" s="7" t="s">
        <v>33</v>
      </c>
      <c r="I41" s="7" t="s">
        <v>84</v>
      </c>
      <c r="J41" s="7" t="s">
        <v>263</v>
      </c>
      <c r="K41" s="7">
        <v>2800</v>
      </c>
      <c r="L41" s="7">
        <v>1</v>
      </c>
      <c r="M41" s="7">
        <v>0.15</v>
      </c>
      <c r="N41" s="7">
        <v>-200</v>
      </c>
      <c r="O41" s="7" t="s">
        <v>264</v>
      </c>
      <c r="P41" s="7" t="s">
        <v>265</v>
      </c>
      <c r="Q41" s="7" t="s">
        <v>38</v>
      </c>
      <c r="R41" s="7" t="s">
        <v>29</v>
      </c>
      <c r="S41" s="5">
        <f t="shared" si="8"/>
        <v>31.135327476926495</v>
      </c>
      <c r="T41" s="4">
        <v>89.93</v>
      </c>
      <c r="U41" s="4" t="str">
        <f t="shared" si="9"/>
        <v>Furniture</v>
      </c>
      <c r="V41" s="4" t="str">
        <f t="shared" si="10"/>
        <v>Furnishings</v>
      </c>
      <c r="W41" s="9">
        <f t="shared" si="11"/>
        <v>-14</v>
      </c>
      <c r="X41" s="4">
        <f t="shared" si="12"/>
        <v>420</v>
      </c>
      <c r="Y41" s="4">
        <f t="shared" si="13"/>
        <v>2023</v>
      </c>
      <c r="Z41" s="4" t="str">
        <f t="shared" si="14"/>
        <v>2023-04</v>
      </c>
      <c r="AA41" s="4" t="str">
        <f t="shared" si="15"/>
        <v>Apr,2023</v>
      </c>
    </row>
    <row r="42" spans="1:27" x14ac:dyDescent="0.25">
      <c r="A42" s="7" t="s">
        <v>266</v>
      </c>
      <c r="B42" s="16">
        <v>45027</v>
      </c>
      <c r="C42" s="11">
        <v>44974</v>
      </c>
      <c r="D42" s="4" t="str">
        <f>IF(F42="","Unknown",IFERROR(VLOOKUP(F42,lookup!$A:$B,2,FALSE),"Unknown"))</f>
        <v>US</v>
      </c>
      <c r="E42" s="7" t="s">
        <v>53</v>
      </c>
      <c r="F42" s="7" t="s">
        <v>113</v>
      </c>
      <c r="G42" s="7" t="s">
        <v>267</v>
      </c>
      <c r="H42" s="7" t="s">
        <v>23</v>
      </c>
      <c r="I42" s="7" t="s">
        <v>69</v>
      </c>
      <c r="J42" s="7" t="s">
        <v>268</v>
      </c>
      <c r="K42" s="7">
        <v>3500</v>
      </c>
      <c r="L42" s="7">
        <v>1</v>
      </c>
      <c r="M42" s="7">
        <v>0.1</v>
      </c>
      <c r="N42" s="7">
        <v>300</v>
      </c>
      <c r="O42" s="7" t="s">
        <v>269</v>
      </c>
      <c r="P42" s="7" t="s">
        <v>270</v>
      </c>
      <c r="Q42" s="7" t="s">
        <v>28</v>
      </c>
      <c r="R42" s="7" t="s">
        <v>50</v>
      </c>
      <c r="S42" s="5">
        <f t="shared" si="8"/>
        <v>38.919159346158118</v>
      </c>
      <c r="T42" s="4">
        <v>89.93</v>
      </c>
      <c r="U42" s="4" t="str">
        <f t="shared" si="9"/>
        <v>Technology</v>
      </c>
      <c r="V42" s="4" t="str">
        <f t="shared" si="10"/>
        <v>Accessories</v>
      </c>
      <c r="W42" s="9">
        <f t="shared" si="11"/>
        <v>11.666666666666666</v>
      </c>
      <c r="X42" s="4">
        <f t="shared" si="12"/>
        <v>350</v>
      </c>
      <c r="Y42" s="4">
        <f t="shared" si="13"/>
        <v>2023</v>
      </c>
      <c r="Z42" s="4" t="str">
        <f t="shared" si="14"/>
        <v>2023-04</v>
      </c>
      <c r="AA42" s="4" t="str">
        <f t="shared" si="15"/>
        <v>Apr,2023</v>
      </c>
    </row>
    <row r="43" spans="1:27" x14ac:dyDescent="0.25">
      <c r="A43" s="7" t="s">
        <v>271</v>
      </c>
      <c r="B43" s="16">
        <v>45030</v>
      </c>
      <c r="C43" s="11">
        <v>44975</v>
      </c>
      <c r="D43" s="4" t="str">
        <f>IF(F43="","Unknown",IFERROR(VLOOKUP(F43,lookup!$A:$B,2,FALSE),"Unknown"))</f>
        <v>APAC</v>
      </c>
      <c r="E43" s="7" t="s">
        <v>20</v>
      </c>
      <c r="F43" s="7" t="s">
        <v>21</v>
      </c>
      <c r="G43" s="7" t="s">
        <v>272</v>
      </c>
      <c r="H43" s="7" t="s">
        <v>33</v>
      </c>
      <c r="I43" s="7" t="s">
        <v>34</v>
      </c>
      <c r="J43" s="7" t="s">
        <v>273</v>
      </c>
      <c r="K43" s="7">
        <v>2900</v>
      </c>
      <c r="L43" s="7">
        <v>1</v>
      </c>
      <c r="M43" s="7">
        <v>0.2</v>
      </c>
      <c r="N43" s="7">
        <v>-250</v>
      </c>
      <c r="O43" s="7" t="s">
        <v>274</v>
      </c>
      <c r="P43" s="7" t="s">
        <v>275</v>
      </c>
      <c r="Q43" s="7" t="s">
        <v>38</v>
      </c>
      <c r="R43" s="7" t="s">
        <v>29</v>
      </c>
      <c r="S43" s="5">
        <f t="shared" si="8"/>
        <v>32.247303458245298</v>
      </c>
      <c r="T43" s="4">
        <v>89.93</v>
      </c>
      <c r="U43" s="4" t="str">
        <f t="shared" si="9"/>
        <v>Furniture</v>
      </c>
      <c r="V43" s="4" t="str">
        <f t="shared" si="10"/>
        <v>Chairs</v>
      </c>
      <c r="W43" s="9">
        <f t="shared" si="11"/>
        <v>-11.6</v>
      </c>
      <c r="X43" s="4">
        <f t="shared" si="12"/>
        <v>580</v>
      </c>
      <c r="Y43" s="4">
        <f t="shared" si="13"/>
        <v>2023</v>
      </c>
      <c r="Z43" s="4" t="str">
        <f t="shared" si="14"/>
        <v>2023-04</v>
      </c>
      <c r="AA43" s="4" t="str">
        <f t="shared" si="15"/>
        <v>Apr,2023</v>
      </c>
    </row>
    <row r="44" spans="1:27" x14ac:dyDescent="0.25">
      <c r="A44" s="7" t="s">
        <v>276</v>
      </c>
      <c r="B44" s="16">
        <v>45031</v>
      </c>
      <c r="C44" s="11">
        <v>44976</v>
      </c>
      <c r="D44" s="4" t="str">
        <f>IF(F44="","Unknown",IFERROR(VLOOKUP(F44,lookup!$A:$B,2,FALSE),"Unknown"))</f>
        <v>Europe</v>
      </c>
      <c r="E44" s="7" t="s">
        <v>207</v>
      </c>
      <c r="F44" s="7" t="s">
        <v>277</v>
      </c>
      <c r="G44" s="7" t="s">
        <v>277</v>
      </c>
      <c r="H44" s="7" t="s">
        <v>23</v>
      </c>
      <c r="I44" s="7" t="s">
        <v>24</v>
      </c>
      <c r="J44" s="7" t="s">
        <v>278</v>
      </c>
      <c r="K44" s="7">
        <v>120000</v>
      </c>
      <c r="L44" s="7">
        <v>1</v>
      </c>
      <c r="M44" s="7">
        <v>0.05</v>
      </c>
      <c r="N44" s="7">
        <v>9500</v>
      </c>
      <c r="O44" s="7" t="s">
        <v>279</v>
      </c>
      <c r="P44" s="7" t="s">
        <v>280</v>
      </c>
      <c r="Q44" s="7" t="s">
        <v>28</v>
      </c>
      <c r="R44" s="7" t="s">
        <v>59</v>
      </c>
      <c r="S44" s="5">
        <f t="shared" si="8"/>
        <v>1334.3711775825641</v>
      </c>
      <c r="T44" s="4">
        <v>89.93</v>
      </c>
      <c r="U44" s="4" t="str">
        <f t="shared" si="9"/>
        <v>Technology</v>
      </c>
      <c r="V44" s="4" t="str">
        <f t="shared" si="10"/>
        <v>Laptops</v>
      </c>
      <c r="W44" s="9">
        <f t="shared" si="11"/>
        <v>12.631578947368421</v>
      </c>
      <c r="X44" s="4">
        <f t="shared" si="12"/>
        <v>6000</v>
      </c>
      <c r="Y44" s="4">
        <f t="shared" si="13"/>
        <v>2023</v>
      </c>
      <c r="Z44" s="4" t="str">
        <f t="shared" si="14"/>
        <v>2023-04</v>
      </c>
      <c r="AA44" s="4" t="str">
        <f t="shared" si="15"/>
        <v>Apr,2023</v>
      </c>
    </row>
    <row r="45" spans="1:27" x14ac:dyDescent="0.25">
      <c r="A45" s="7" t="s">
        <v>281</v>
      </c>
      <c r="B45" s="16">
        <v>45033</v>
      </c>
      <c r="C45" s="11">
        <v>44977</v>
      </c>
      <c r="D45" s="4" t="str">
        <f>IF(F45="","Unknown",IFERROR(VLOOKUP(F45,lookup!$A:$B,2,FALSE),"Unknown"))</f>
        <v>APAC</v>
      </c>
      <c r="E45" s="7" t="s">
        <v>20</v>
      </c>
      <c r="F45" s="7" t="s">
        <v>282</v>
      </c>
      <c r="G45" s="7" t="s">
        <v>283</v>
      </c>
      <c r="H45" s="7" t="s">
        <v>44</v>
      </c>
      <c r="I45" s="7" t="s">
        <v>76</v>
      </c>
      <c r="J45" s="7" t="s">
        <v>284</v>
      </c>
      <c r="K45" s="7">
        <v>600</v>
      </c>
      <c r="L45" s="7">
        <v>3</v>
      </c>
      <c r="M45" s="7">
        <v>0.1</v>
      </c>
      <c r="N45" s="7">
        <v>20</v>
      </c>
      <c r="O45" s="7" t="s">
        <v>285</v>
      </c>
      <c r="P45" s="7" t="s">
        <v>286</v>
      </c>
      <c r="Q45" s="7" t="s">
        <v>49</v>
      </c>
      <c r="R45" s="7" t="s">
        <v>29</v>
      </c>
      <c r="S45" s="5">
        <f t="shared" si="8"/>
        <v>6.6718558879128205</v>
      </c>
      <c r="T45" s="4">
        <v>89.93</v>
      </c>
      <c r="U45" s="4" t="str">
        <f t="shared" si="9"/>
        <v>Office Supplies</v>
      </c>
      <c r="V45" s="4" t="str">
        <f t="shared" si="10"/>
        <v>Binders</v>
      </c>
      <c r="W45" s="9">
        <f t="shared" si="11"/>
        <v>30</v>
      </c>
      <c r="X45" s="4">
        <f t="shared" si="12"/>
        <v>60</v>
      </c>
      <c r="Y45" s="4">
        <f t="shared" si="13"/>
        <v>2023</v>
      </c>
      <c r="Z45" s="4" t="str">
        <f t="shared" si="14"/>
        <v>2023-04</v>
      </c>
      <c r="AA45" s="4" t="str">
        <f t="shared" si="15"/>
        <v>Apr,2023</v>
      </c>
    </row>
    <row r="46" spans="1:27" x14ac:dyDescent="0.25">
      <c r="A46" s="7" t="s">
        <v>287</v>
      </c>
      <c r="B46" s="16">
        <v>45034</v>
      </c>
      <c r="C46" s="11">
        <v>44978</v>
      </c>
      <c r="D46" s="4" t="str">
        <f>IF(F46="","Unknown",IFERROR(VLOOKUP(F46,lookup!$A:$B,2,FALSE),"Unknown"))</f>
        <v>US</v>
      </c>
      <c r="E46" s="7" t="s">
        <v>53</v>
      </c>
      <c r="F46" s="7" t="s">
        <v>288</v>
      </c>
      <c r="G46" s="7" t="s">
        <v>289</v>
      </c>
      <c r="H46" s="7" t="s">
        <v>33</v>
      </c>
      <c r="I46" s="7" t="s">
        <v>63</v>
      </c>
      <c r="J46" s="7" t="s">
        <v>290</v>
      </c>
      <c r="K46" s="7">
        <v>19000</v>
      </c>
      <c r="L46" s="7">
        <v>1</v>
      </c>
      <c r="M46" s="7">
        <v>0.25</v>
      </c>
      <c r="N46" s="7">
        <v>-2300</v>
      </c>
      <c r="O46" s="7" t="s">
        <v>291</v>
      </c>
      <c r="P46" s="7" t="s">
        <v>292</v>
      </c>
      <c r="Q46" s="7" t="s">
        <v>28</v>
      </c>
      <c r="R46" s="7" t="s">
        <v>50</v>
      </c>
      <c r="S46" s="5">
        <f t="shared" si="8"/>
        <v>211.27543645057264</v>
      </c>
      <c r="T46" s="4">
        <v>89.93</v>
      </c>
      <c r="U46" s="4" t="str">
        <f t="shared" si="9"/>
        <v>Furniture</v>
      </c>
      <c r="V46" s="4" t="str">
        <f t="shared" si="10"/>
        <v>Tables</v>
      </c>
      <c r="W46" s="9">
        <f t="shared" si="11"/>
        <v>-8.2608695652173907</v>
      </c>
      <c r="X46" s="4">
        <f t="shared" si="12"/>
        <v>4750</v>
      </c>
      <c r="Y46" s="4">
        <f t="shared" si="13"/>
        <v>2023</v>
      </c>
      <c r="Z46" s="4" t="str">
        <f t="shared" si="14"/>
        <v>2023-04</v>
      </c>
      <c r="AA46" s="4" t="str">
        <f t="shared" si="15"/>
        <v>Apr,2023</v>
      </c>
    </row>
    <row r="47" spans="1:27" x14ac:dyDescent="0.25">
      <c r="A47" s="7" t="s">
        <v>293</v>
      </c>
      <c r="B47" s="16">
        <v>45037</v>
      </c>
      <c r="C47" s="11">
        <v>44979</v>
      </c>
      <c r="D47" s="4" t="str">
        <f>IF(F47="","Unknown",IFERROR(VLOOKUP(F47,lookup!$A:$B,2,FALSE),"Unknown"))</f>
        <v>US</v>
      </c>
      <c r="E47" s="7" t="s">
        <v>53</v>
      </c>
      <c r="F47" s="7" t="s">
        <v>180</v>
      </c>
      <c r="G47" s="7" t="s">
        <v>294</v>
      </c>
      <c r="H47" s="7" t="s">
        <v>23</v>
      </c>
      <c r="I47" s="7" t="s">
        <v>55</v>
      </c>
      <c r="J47" s="7" t="s">
        <v>295</v>
      </c>
      <c r="K47" s="7">
        <v>30000</v>
      </c>
      <c r="L47" s="7">
        <v>1</v>
      </c>
      <c r="M47" s="7">
        <v>0.1</v>
      </c>
      <c r="N47" s="7">
        <v>1600</v>
      </c>
      <c r="O47" s="7" t="s">
        <v>296</v>
      </c>
      <c r="P47" s="7" t="s">
        <v>297</v>
      </c>
      <c r="Q47" s="7" t="s">
        <v>38</v>
      </c>
      <c r="R47" s="7" t="s">
        <v>29</v>
      </c>
      <c r="S47" s="5">
        <f t="shared" si="8"/>
        <v>333.59279439564102</v>
      </c>
      <c r="T47" s="4">
        <v>89.93</v>
      </c>
      <c r="U47" s="4" t="str">
        <f t="shared" si="9"/>
        <v>Technology</v>
      </c>
      <c r="V47" s="4" t="str">
        <f t="shared" si="10"/>
        <v>Phones</v>
      </c>
      <c r="W47" s="9">
        <f t="shared" si="11"/>
        <v>18.75</v>
      </c>
      <c r="X47" s="4">
        <f t="shared" si="12"/>
        <v>3000</v>
      </c>
      <c r="Y47" s="4">
        <f t="shared" si="13"/>
        <v>2023</v>
      </c>
      <c r="Z47" s="4" t="str">
        <f t="shared" si="14"/>
        <v>2023-04</v>
      </c>
      <c r="AA47" s="4" t="str">
        <f t="shared" si="15"/>
        <v>Apr,2023</v>
      </c>
    </row>
    <row r="48" spans="1:27" x14ac:dyDescent="0.25">
      <c r="A48" s="7" t="s">
        <v>298</v>
      </c>
      <c r="B48" s="16">
        <v>45038</v>
      </c>
      <c r="C48" s="11">
        <v>44980</v>
      </c>
      <c r="D48" s="4" t="str">
        <f>IF(F48="","Unknown",IFERROR(VLOOKUP(F48,lookup!$A:$B,2,FALSE),"Unknown"))</f>
        <v>Europe</v>
      </c>
      <c r="E48" s="7" t="s">
        <v>106</v>
      </c>
      <c r="F48" s="7" t="s">
        <v>107</v>
      </c>
      <c r="G48" s="7" t="s">
        <v>299</v>
      </c>
      <c r="H48" s="7" t="s">
        <v>44</v>
      </c>
      <c r="I48" s="7" t="s">
        <v>45</v>
      </c>
      <c r="J48" s="7" t="s">
        <v>300</v>
      </c>
      <c r="K48" s="7">
        <v>250</v>
      </c>
      <c r="L48" s="7">
        <v>3</v>
      </c>
      <c r="M48" s="7">
        <v>0</v>
      </c>
      <c r="N48" s="7">
        <v>60</v>
      </c>
      <c r="O48" s="7" t="s">
        <v>301</v>
      </c>
      <c r="P48" s="7" t="s">
        <v>302</v>
      </c>
      <c r="Q48" s="7" t="s">
        <v>49</v>
      </c>
      <c r="R48" s="7" t="s">
        <v>50</v>
      </c>
      <c r="S48" s="5">
        <f t="shared" si="8"/>
        <v>2.7799399532970086</v>
      </c>
      <c r="T48" s="4">
        <v>89.93</v>
      </c>
      <c r="U48" s="4" t="str">
        <f t="shared" si="9"/>
        <v>Office Supplies</v>
      </c>
      <c r="V48" s="4" t="str">
        <f t="shared" si="10"/>
        <v>Paper</v>
      </c>
      <c r="W48" s="9">
        <f t="shared" si="11"/>
        <v>4.166666666666667</v>
      </c>
      <c r="X48" s="4">
        <f t="shared" si="12"/>
        <v>0</v>
      </c>
      <c r="Y48" s="4">
        <f t="shared" si="13"/>
        <v>2023</v>
      </c>
      <c r="Z48" s="4" t="str">
        <f t="shared" si="14"/>
        <v>2023-04</v>
      </c>
      <c r="AA48" s="4" t="str">
        <f t="shared" si="15"/>
        <v>Apr,2023</v>
      </c>
    </row>
    <row r="49" spans="1:27" x14ac:dyDescent="0.25">
      <c r="A49" s="7" t="s">
        <v>303</v>
      </c>
      <c r="B49" s="16">
        <v>45040</v>
      </c>
      <c r="C49" s="11">
        <v>44981</v>
      </c>
      <c r="D49" s="4" t="str">
        <f>IF(F49="","Unknown",IFERROR(VLOOKUP(F49,lookup!$A:$B,2,FALSE),"Unknown"))</f>
        <v>APAC</v>
      </c>
      <c r="E49" s="7" t="s">
        <v>20</v>
      </c>
      <c r="F49" s="7" t="s">
        <v>304</v>
      </c>
      <c r="G49" s="7" t="s">
        <v>305</v>
      </c>
      <c r="H49" s="7" t="s">
        <v>33</v>
      </c>
      <c r="I49" s="7" t="s">
        <v>84</v>
      </c>
      <c r="J49" s="7" t="s">
        <v>306</v>
      </c>
      <c r="K49" s="7">
        <v>3500</v>
      </c>
      <c r="L49" s="7">
        <v>1</v>
      </c>
      <c r="M49" s="7">
        <v>0.1</v>
      </c>
      <c r="N49" s="7">
        <v>-100</v>
      </c>
      <c r="O49" s="7" t="s">
        <v>307</v>
      </c>
      <c r="P49" s="7" t="s">
        <v>308</v>
      </c>
      <c r="Q49" s="7" t="s">
        <v>38</v>
      </c>
      <c r="R49" s="7" t="s">
        <v>29</v>
      </c>
      <c r="S49" s="5">
        <f t="shared" si="8"/>
        <v>38.919159346158118</v>
      </c>
      <c r="T49" s="4">
        <v>89.93</v>
      </c>
      <c r="U49" s="4" t="str">
        <f t="shared" si="9"/>
        <v>Furniture</v>
      </c>
      <c r="V49" s="4" t="str">
        <f t="shared" si="10"/>
        <v>Furnishings</v>
      </c>
      <c r="W49" s="9">
        <f t="shared" si="11"/>
        <v>-35</v>
      </c>
      <c r="X49" s="4">
        <f t="shared" si="12"/>
        <v>350</v>
      </c>
      <c r="Y49" s="4">
        <f t="shared" si="13"/>
        <v>2023</v>
      </c>
      <c r="Z49" s="4" t="str">
        <f t="shared" si="14"/>
        <v>2023-04</v>
      </c>
      <c r="AA49" s="4" t="str">
        <f t="shared" si="15"/>
        <v>Apr,2023</v>
      </c>
    </row>
    <row r="50" spans="1:27" x14ac:dyDescent="0.25">
      <c r="A50" s="7" t="s">
        <v>309</v>
      </c>
      <c r="B50" s="16">
        <v>45042</v>
      </c>
      <c r="C50" s="11">
        <v>44982</v>
      </c>
      <c r="D50" s="4" t="str">
        <f>IF(F50="","Unknown",IFERROR(VLOOKUP(F50,lookup!$A:$B,2,FALSE),"Unknown"))</f>
        <v>Europe</v>
      </c>
      <c r="E50" s="7" t="s">
        <v>41</v>
      </c>
      <c r="F50" s="7" t="s">
        <v>310</v>
      </c>
      <c r="G50" s="7" t="s">
        <v>311</v>
      </c>
      <c r="H50" s="7" t="s">
        <v>23</v>
      </c>
      <c r="I50" s="7" t="s">
        <v>69</v>
      </c>
      <c r="J50" s="7" t="s">
        <v>312</v>
      </c>
      <c r="K50" s="7">
        <v>4800</v>
      </c>
      <c r="L50" s="7">
        <v>1</v>
      </c>
      <c r="M50" s="7">
        <v>0.15</v>
      </c>
      <c r="N50" s="7">
        <v>250</v>
      </c>
      <c r="O50" s="7" t="s">
        <v>313</v>
      </c>
      <c r="P50" s="7" t="s">
        <v>314</v>
      </c>
      <c r="Q50" s="7" t="s">
        <v>38</v>
      </c>
      <c r="R50" s="7" t="s">
        <v>50</v>
      </c>
      <c r="S50" s="5">
        <f t="shared" si="8"/>
        <v>53.374847103302564</v>
      </c>
      <c r="T50" s="4">
        <v>89.93</v>
      </c>
      <c r="U50" s="4" t="str">
        <f t="shared" si="9"/>
        <v>Technology</v>
      </c>
      <c r="V50" s="4" t="str">
        <f t="shared" si="10"/>
        <v>Accessories</v>
      </c>
      <c r="W50" s="9">
        <f t="shared" si="11"/>
        <v>19.2</v>
      </c>
      <c r="X50" s="4">
        <f t="shared" si="12"/>
        <v>720</v>
      </c>
      <c r="Y50" s="4">
        <f t="shared" si="13"/>
        <v>2023</v>
      </c>
      <c r="Z50" s="4" t="str">
        <f t="shared" si="14"/>
        <v>2023-04</v>
      </c>
      <c r="AA50" s="4" t="str">
        <f t="shared" si="15"/>
        <v>Apr,2023</v>
      </c>
    </row>
    <row r="51" spans="1:27" x14ac:dyDescent="0.25">
      <c r="A51" s="7" t="s">
        <v>315</v>
      </c>
      <c r="B51" s="16">
        <v>45044</v>
      </c>
      <c r="C51" s="11">
        <v>44983</v>
      </c>
      <c r="D51" s="4" t="str">
        <f>IF(F51="","Unknown",IFERROR(VLOOKUP(F51,lookup!$A:$B,2,FALSE),"Unknown"))</f>
        <v>APAC</v>
      </c>
      <c r="E51" s="7" t="s">
        <v>20</v>
      </c>
      <c r="F51" s="7" t="s">
        <v>316</v>
      </c>
      <c r="G51" s="7" t="s">
        <v>317</v>
      </c>
      <c r="H51" s="7" t="s">
        <v>23</v>
      </c>
      <c r="I51" s="7" t="s">
        <v>24</v>
      </c>
      <c r="J51" s="7" t="s">
        <v>318</v>
      </c>
      <c r="K51" s="7">
        <v>46000</v>
      </c>
      <c r="L51" s="7">
        <v>1</v>
      </c>
      <c r="M51" s="7">
        <v>0.2</v>
      </c>
      <c r="N51" s="7">
        <v>-1500</v>
      </c>
      <c r="O51" s="7" t="s">
        <v>319</v>
      </c>
      <c r="P51" s="7" t="s">
        <v>320</v>
      </c>
      <c r="Q51" s="7" t="s">
        <v>28</v>
      </c>
      <c r="R51" s="7" t="s">
        <v>29</v>
      </c>
      <c r="S51" s="5">
        <f t="shared" si="8"/>
        <v>511.5089514066496</v>
      </c>
      <c r="T51" s="4">
        <v>89.93</v>
      </c>
      <c r="U51" s="4" t="str">
        <f t="shared" si="9"/>
        <v>Technology</v>
      </c>
      <c r="V51" s="4" t="str">
        <f t="shared" si="10"/>
        <v>Laptops</v>
      </c>
      <c r="W51" s="9">
        <f t="shared" si="11"/>
        <v>-30.666666666666668</v>
      </c>
      <c r="X51" s="4">
        <f t="shared" si="12"/>
        <v>9200</v>
      </c>
      <c r="Y51" s="4">
        <f t="shared" si="13"/>
        <v>2023</v>
      </c>
      <c r="Z51" s="4" t="str">
        <f t="shared" si="14"/>
        <v>2023-04</v>
      </c>
      <c r="AA51" s="4" t="str">
        <f t="shared" si="15"/>
        <v>Apr,2023</v>
      </c>
    </row>
    <row r="52" spans="1:27" x14ac:dyDescent="0.25">
      <c r="A52" s="7" t="s">
        <v>327</v>
      </c>
      <c r="S52" s="5"/>
      <c r="U52" s="4" t="str">
        <f t="shared" si="9"/>
        <v/>
      </c>
      <c r="V52" s="4" t="str">
        <f t="shared" si="10"/>
        <v/>
      </c>
      <c r="W52" s="9"/>
    </row>
    <row r="53" spans="1:27" x14ac:dyDescent="0.25">
      <c r="A53" s="7" t="s">
        <v>328</v>
      </c>
      <c r="S53" s="5"/>
      <c r="U53" s="4" t="str">
        <f t="shared" si="9"/>
        <v/>
      </c>
      <c r="V53" s="4" t="str">
        <f t="shared" si="10"/>
        <v/>
      </c>
      <c r="W53" s="9"/>
    </row>
    <row r="54" spans="1:27" x14ac:dyDescent="0.25">
      <c r="A54" s="7" t="s">
        <v>329</v>
      </c>
      <c r="S54" s="5"/>
      <c r="U54" s="4" t="str">
        <f t="shared" si="9"/>
        <v/>
      </c>
      <c r="V54" s="4" t="str">
        <f t="shared" si="10"/>
        <v/>
      </c>
      <c r="W54" s="9"/>
    </row>
    <row r="55" spans="1:27" x14ac:dyDescent="0.25">
      <c r="A55" s="7" t="s">
        <v>330</v>
      </c>
      <c r="S55" s="5"/>
      <c r="U55" s="4" t="str">
        <f t="shared" si="9"/>
        <v/>
      </c>
      <c r="V55" s="4" t="str">
        <f t="shared" si="10"/>
        <v/>
      </c>
      <c r="W55" s="9"/>
    </row>
    <row r="56" spans="1:27" x14ac:dyDescent="0.25">
      <c r="A56" s="7" t="s">
        <v>331</v>
      </c>
      <c r="S56" s="5"/>
      <c r="U56" s="4" t="str">
        <f t="shared" si="9"/>
        <v/>
      </c>
      <c r="V56" s="4" t="str">
        <f t="shared" si="10"/>
        <v/>
      </c>
      <c r="W56" s="9"/>
    </row>
    <row r="57" spans="1:27" x14ac:dyDescent="0.25">
      <c r="A57" s="7" t="s">
        <v>332</v>
      </c>
      <c r="S57" s="5"/>
      <c r="U57" s="4" t="str">
        <f t="shared" si="9"/>
        <v/>
      </c>
      <c r="V57" s="4" t="str">
        <f t="shared" si="10"/>
        <v/>
      </c>
      <c r="W57" s="9"/>
    </row>
    <row r="58" spans="1:27" x14ac:dyDescent="0.25">
      <c r="A58" s="7" t="s">
        <v>333</v>
      </c>
      <c r="S58" s="5"/>
      <c r="U58" s="4" t="str">
        <f t="shared" si="9"/>
        <v/>
      </c>
      <c r="V58" s="4" t="str">
        <f t="shared" si="10"/>
        <v/>
      </c>
      <c r="W58" s="9"/>
    </row>
    <row r="59" spans="1:27" x14ac:dyDescent="0.25">
      <c r="A59" s="7" t="s">
        <v>334</v>
      </c>
      <c r="S59" s="5"/>
      <c r="U59" s="4" t="str">
        <f t="shared" si="9"/>
        <v/>
      </c>
      <c r="V59" s="4" t="str">
        <f t="shared" si="10"/>
        <v/>
      </c>
      <c r="W59" s="9"/>
    </row>
    <row r="60" spans="1:27" x14ac:dyDescent="0.25">
      <c r="S60" s="5"/>
      <c r="U60" s="4" t="str">
        <f t="shared" si="9"/>
        <v/>
      </c>
      <c r="V60" s="4" t="str">
        <f t="shared" si="10"/>
        <v/>
      </c>
      <c r="W60" s="9"/>
    </row>
    <row r="61" spans="1:27" x14ac:dyDescent="0.25">
      <c r="S61" s="5"/>
      <c r="U61" s="4" t="str">
        <f t="shared" si="9"/>
        <v/>
      </c>
      <c r="V61" s="4" t="str">
        <f t="shared" si="10"/>
        <v/>
      </c>
      <c r="W61" s="9"/>
    </row>
    <row r="62" spans="1:27" x14ac:dyDescent="0.25">
      <c r="S62" s="5"/>
      <c r="U62" s="4" t="str">
        <f t="shared" si="9"/>
        <v/>
      </c>
      <c r="V62" s="4" t="str">
        <f t="shared" si="10"/>
        <v/>
      </c>
      <c r="W62" s="9"/>
    </row>
    <row r="63" spans="1:27" x14ac:dyDescent="0.25">
      <c r="S63" s="5"/>
      <c r="U63" s="4" t="str">
        <f t="shared" si="9"/>
        <v/>
      </c>
      <c r="V63" s="4" t="str">
        <f t="shared" si="10"/>
        <v/>
      </c>
      <c r="W63" s="9"/>
    </row>
    <row r="64" spans="1:27" x14ac:dyDescent="0.25">
      <c r="S64" s="5"/>
      <c r="U64" s="4" t="str">
        <f t="shared" si="9"/>
        <v/>
      </c>
      <c r="V64" s="4" t="str">
        <f t="shared" si="10"/>
        <v/>
      </c>
      <c r="W64" s="9"/>
    </row>
    <row r="65" spans="19:23" x14ac:dyDescent="0.25">
      <c r="S65" s="5"/>
      <c r="U65" s="4" t="str">
        <f t="shared" si="9"/>
        <v/>
      </c>
      <c r="V65" s="4" t="str">
        <f t="shared" si="10"/>
        <v/>
      </c>
      <c r="W65" s="9"/>
    </row>
    <row r="66" spans="19:23" x14ac:dyDescent="0.25">
      <c r="S66" s="5"/>
      <c r="U66" s="4" t="str">
        <f t="shared" ref="U66:U97" si="16">TRIM(PROPER(H66))</f>
        <v/>
      </c>
      <c r="V66" s="4" t="str">
        <f t="shared" ref="V66:V97" si="17">TRIM(PROPER(I66))</f>
        <v/>
      </c>
      <c r="W66" s="9"/>
    </row>
    <row r="67" spans="19:23" x14ac:dyDescent="0.25">
      <c r="S67" s="5"/>
      <c r="U67" s="4" t="str">
        <f t="shared" si="16"/>
        <v/>
      </c>
      <c r="V67" s="4" t="str">
        <f t="shared" si="17"/>
        <v/>
      </c>
      <c r="W67" s="9"/>
    </row>
    <row r="68" spans="19:23" x14ac:dyDescent="0.25">
      <c r="S68" s="5"/>
      <c r="U68" s="4" t="str">
        <f t="shared" si="16"/>
        <v/>
      </c>
      <c r="V68" s="4" t="str">
        <f t="shared" si="17"/>
        <v/>
      </c>
      <c r="W68" s="9"/>
    </row>
    <row r="69" spans="19:23" x14ac:dyDescent="0.25">
      <c r="S69" s="5"/>
      <c r="U69" s="4" t="str">
        <f t="shared" si="16"/>
        <v/>
      </c>
      <c r="V69" s="4" t="str">
        <f t="shared" si="17"/>
        <v/>
      </c>
      <c r="W69" s="9"/>
    </row>
    <row r="70" spans="19:23" x14ac:dyDescent="0.25">
      <c r="S70" s="5"/>
      <c r="U70" s="4" t="str">
        <f t="shared" si="16"/>
        <v/>
      </c>
      <c r="V70" s="4" t="str">
        <f t="shared" si="17"/>
        <v/>
      </c>
      <c r="W70" s="9"/>
    </row>
    <row r="71" spans="19:23" x14ac:dyDescent="0.25">
      <c r="S71" s="5"/>
      <c r="U71" s="4" t="str">
        <f t="shared" si="16"/>
        <v/>
      </c>
      <c r="V71" s="4" t="str">
        <f t="shared" si="17"/>
        <v/>
      </c>
      <c r="W71" s="9"/>
    </row>
    <row r="72" spans="19:23" x14ac:dyDescent="0.25">
      <c r="S72" s="5"/>
      <c r="U72" s="4" t="str">
        <f t="shared" si="16"/>
        <v/>
      </c>
      <c r="V72" s="4" t="str">
        <f t="shared" si="17"/>
        <v/>
      </c>
      <c r="W72" s="9"/>
    </row>
    <row r="73" spans="19:23" x14ac:dyDescent="0.25">
      <c r="S73" s="5"/>
      <c r="U73" s="4" t="str">
        <f t="shared" si="16"/>
        <v/>
      </c>
      <c r="V73" s="4" t="str">
        <f t="shared" si="17"/>
        <v/>
      </c>
      <c r="W73" s="9"/>
    </row>
    <row r="74" spans="19:23" x14ac:dyDescent="0.25">
      <c r="S74" s="5"/>
      <c r="U74" s="4" t="str">
        <f t="shared" si="16"/>
        <v/>
      </c>
      <c r="V74" s="4" t="str">
        <f t="shared" si="17"/>
        <v/>
      </c>
      <c r="W74" s="9"/>
    </row>
    <row r="75" spans="19:23" x14ac:dyDescent="0.25">
      <c r="S75" s="5"/>
      <c r="U75" s="4" t="str">
        <f t="shared" si="16"/>
        <v/>
      </c>
      <c r="V75" s="4" t="str">
        <f t="shared" si="17"/>
        <v/>
      </c>
      <c r="W75" s="9"/>
    </row>
    <row r="76" spans="19:23" x14ac:dyDescent="0.25">
      <c r="S76" s="5"/>
      <c r="U76" s="4" t="str">
        <f t="shared" si="16"/>
        <v/>
      </c>
      <c r="V76" s="4" t="str">
        <f t="shared" si="17"/>
        <v/>
      </c>
      <c r="W76" s="9"/>
    </row>
    <row r="77" spans="19:23" x14ac:dyDescent="0.25">
      <c r="S77" s="5"/>
      <c r="U77" s="4" t="str">
        <f t="shared" si="16"/>
        <v/>
      </c>
      <c r="V77" s="4" t="str">
        <f t="shared" si="17"/>
        <v/>
      </c>
      <c r="W77" s="9"/>
    </row>
    <row r="78" spans="19:23" x14ac:dyDescent="0.25">
      <c r="S78" s="5"/>
      <c r="U78" s="4" t="str">
        <f t="shared" si="16"/>
        <v/>
      </c>
      <c r="V78" s="4" t="str">
        <f t="shared" si="17"/>
        <v/>
      </c>
      <c r="W78" s="9"/>
    </row>
    <row r="79" spans="19:23" x14ac:dyDescent="0.25">
      <c r="S79" s="5"/>
      <c r="U79" s="4" t="str">
        <f t="shared" si="16"/>
        <v/>
      </c>
      <c r="V79" s="4" t="str">
        <f t="shared" si="17"/>
        <v/>
      </c>
      <c r="W79" s="9"/>
    </row>
    <row r="80" spans="19:23" x14ac:dyDescent="0.25">
      <c r="S80" s="5"/>
      <c r="U80" s="4" t="str">
        <f t="shared" si="16"/>
        <v/>
      </c>
      <c r="V80" s="4" t="str">
        <f t="shared" si="17"/>
        <v/>
      </c>
      <c r="W80" s="9"/>
    </row>
    <row r="81" spans="19:23" x14ac:dyDescent="0.25">
      <c r="S81" s="5"/>
      <c r="U81" s="4" t="str">
        <f t="shared" si="16"/>
        <v/>
      </c>
      <c r="V81" s="4" t="str">
        <f t="shared" si="17"/>
        <v/>
      </c>
      <c r="W81" s="9"/>
    </row>
    <row r="82" spans="19:23" x14ac:dyDescent="0.25">
      <c r="S82" s="5"/>
      <c r="U82" s="4" t="str">
        <f t="shared" si="16"/>
        <v/>
      </c>
      <c r="V82" s="4" t="str">
        <f t="shared" si="17"/>
        <v/>
      </c>
      <c r="W82" s="9"/>
    </row>
    <row r="83" spans="19:23" x14ac:dyDescent="0.25">
      <c r="U83" s="4" t="str">
        <f t="shared" si="16"/>
        <v/>
      </c>
      <c r="V83" s="4" t="str">
        <f t="shared" si="17"/>
        <v/>
      </c>
      <c r="W83" s="9"/>
    </row>
    <row r="84" spans="19:23" x14ac:dyDescent="0.25">
      <c r="U84" s="4" t="str">
        <f t="shared" si="16"/>
        <v/>
      </c>
      <c r="V84" s="4" t="str">
        <f t="shared" si="17"/>
        <v/>
      </c>
      <c r="W84" s="9"/>
    </row>
    <row r="85" spans="19:23" x14ac:dyDescent="0.25">
      <c r="U85" s="4" t="str">
        <f t="shared" si="16"/>
        <v/>
      </c>
      <c r="V85" s="4" t="str">
        <f t="shared" si="17"/>
        <v/>
      </c>
      <c r="W85" s="9"/>
    </row>
    <row r="86" spans="19:23" x14ac:dyDescent="0.25">
      <c r="U86" s="4" t="str">
        <f t="shared" si="16"/>
        <v/>
      </c>
      <c r="V86" s="4" t="str">
        <f t="shared" si="17"/>
        <v/>
      </c>
      <c r="W86" s="9"/>
    </row>
    <row r="87" spans="19:23" x14ac:dyDescent="0.25">
      <c r="U87" s="4" t="str">
        <f t="shared" si="16"/>
        <v/>
      </c>
      <c r="V87" s="4" t="str">
        <f t="shared" si="17"/>
        <v/>
      </c>
      <c r="W87" s="9"/>
    </row>
    <row r="88" spans="19:23" x14ac:dyDescent="0.25">
      <c r="U88" s="4" t="str">
        <f t="shared" si="16"/>
        <v/>
      </c>
      <c r="V88" s="4" t="str">
        <f t="shared" si="17"/>
        <v/>
      </c>
      <c r="W88" s="9"/>
    </row>
    <row r="89" spans="19:23" x14ac:dyDescent="0.25">
      <c r="U89" s="4" t="str">
        <f t="shared" si="16"/>
        <v/>
      </c>
      <c r="V89" s="4" t="str">
        <f t="shared" si="17"/>
        <v/>
      </c>
      <c r="W89" s="9"/>
    </row>
    <row r="90" spans="19:23" x14ac:dyDescent="0.25">
      <c r="U90" s="4" t="str">
        <f t="shared" si="16"/>
        <v/>
      </c>
      <c r="V90" s="4" t="str">
        <f t="shared" si="17"/>
        <v/>
      </c>
      <c r="W90" s="9"/>
    </row>
    <row r="91" spans="19:23" x14ac:dyDescent="0.25">
      <c r="U91" s="4" t="str">
        <f t="shared" si="16"/>
        <v/>
      </c>
      <c r="V91" s="4" t="str">
        <f t="shared" si="17"/>
        <v/>
      </c>
      <c r="W91" s="9"/>
    </row>
    <row r="92" spans="19:23" x14ac:dyDescent="0.25">
      <c r="U92" s="4" t="str">
        <f t="shared" si="16"/>
        <v/>
      </c>
      <c r="V92" s="4" t="str">
        <f t="shared" si="17"/>
        <v/>
      </c>
      <c r="W92" s="9"/>
    </row>
    <row r="93" spans="19:23" x14ac:dyDescent="0.25">
      <c r="U93" s="4" t="str">
        <f t="shared" si="16"/>
        <v/>
      </c>
      <c r="V93" s="4" t="str">
        <f t="shared" si="17"/>
        <v/>
      </c>
      <c r="W93" s="9"/>
    </row>
    <row r="94" spans="19:23" x14ac:dyDescent="0.25">
      <c r="U94" s="4" t="str">
        <f t="shared" si="16"/>
        <v/>
      </c>
      <c r="V94" s="4" t="str">
        <f t="shared" si="17"/>
        <v/>
      </c>
      <c r="W94" s="9"/>
    </row>
    <row r="95" spans="19:23" x14ac:dyDescent="0.25">
      <c r="U95" s="4" t="str">
        <f t="shared" si="16"/>
        <v/>
      </c>
      <c r="V95" s="4" t="str">
        <f t="shared" si="17"/>
        <v/>
      </c>
      <c r="W95" s="9"/>
    </row>
    <row r="96" spans="19:23" x14ac:dyDescent="0.25">
      <c r="U96" s="4" t="str">
        <f t="shared" si="16"/>
        <v/>
      </c>
      <c r="V96" s="4" t="str">
        <f t="shared" si="17"/>
        <v/>
      </c>
      <c r="W96" s="9"/>
    </row>
    <row r="97" spans="21:23" x14ac:dyDescent="0.25">
      <c r="U97" s="4" t="str">
        <f t="shared" si="16"/>
        <v/>
      </c>
      <c r="V97" s="4" t="str">
        <f t="shared" si="17"/>
        <v/>
      </c>
      <c r="W97" s="9"/>
    </row>
    <row r="98" spans="21:23" x14ac:dyDescent="0.25">
      <c r="U98" s="4" t="str">
        <f t="shared" ref="U98:U120" si="18">TRIM(PROPER(H98))</f>
        <v/>
      </c>
      <c r="V98" s="4" t="str">
        <f t="shared" ref="V98:V120" si="19">TRIM(PROPER(I98))</f>
        <v/>
      </c>
      <c r="W98" s="9"/>
    </row>
    <row r="99" spans="21:23" x14ac:dyDescent="0.25">
      <c r="U99" s="4" t="str">
        <f t="shared" si="18"/>
        <v/>
      </c>
      <c r="V99" s="4" t="str">
        <f t="shared" si="19"/>
        <v/>
      </c>
      <c r="W99" s="9"/>
    </row>
    <row r="100" spans="21:23" x14ac:dyDescent="0.25">
      <c r="U100" s="4" t="str">
        <f t="shared" si="18"/>
        <v/>
      </c>
      <c r="V100" s="4" t="str">
        <f t="shared" si="19"/>
        <v/>
      </c>
      <c r="W100" s="9"/>
    </row>
    <row r="101" spans="21:23" x14ac:dyDescent="0.25">
      <c r="U101" s="4" t="str">
        <f t="shared" si="18"/>
        <v/>
      </c>
      <c r="V101" s="4" t="str">
        <f t="shared" si="19"/>
        <v/>
      </c>
      <c r="W101" s="9"/>
    </row>
    <row r="102" spans="21:23" x14ac:dyDescent="0.25">
      <c r="U102" s="4" t="str">
        <f t="shared" si="18"/>
        <v/>
      </c>
      <c r="V102" s="4" t="str">
        <f t="shared" si="19"/>
        <v/>
      </c>
      <c r="W102" s="9"/>
    </row>
    <row r="103" spans="21:23" x14ac:dyDescent="0.25">
      <c r="U103" s="4" t="str">
        <f t="shared" si="18"/>
        <v/>
      </c>
      <c r="V103" s="4" t="str">
        <f t="shared" si="19"/>
        <v/>
      </c>
      <c r="W103" s="9"/>
    </row>
    <row r="104" spans="21:23" x14ac:dyDescent="0.25">
      <c r="U104" s="4" t="str">
        <f t="shared" si="18"/>
        <v/>
      </c>
      <c r="V104" s="4" t="str">
        <f t="shared" si="19"/>
        <v/>
      </c>
      <c r="W104" s="9"/>
    </row>
    <row r="105" spans="21:23" x14ac:dyDescent="0.25">
      <c r="U105" s="4" t="str">
        <f t="shared" si="18"/>
        <v/>
      </c>
      <c r="V105" s="4" t="str">
        <f t="shared" si="19"/>
        <v/>
      </c>
      <c r="W105" s="9"/>
    </row>
    <row r="106" spans="21:23" x14ac:dyDescent="0.25">
      <c r="U106" s="4" t="str">
        <f t="shared" si="18"/>
        <v/>
      </c>
      <c r="V106" s="4" t="str">
        <f t="shared" si="19"/>
        <v/>
      </c>
      <c r="W106" s="9"/>
    </row>
    <row r="107" spans="21:23" x14ac:dyDescent="0.25">
      <c r="U107" s="4" t="str">
        <f t="shared" si="18"/>
        <v/>
      </c>
      <c r="V107" s="4" t="str">
        <f t="shared" si="19"/>
        <v/>
      </c>
      <c r="W107" s="9"/>
    </row>
    <row r="108" spans="21:23" x14ac:dyDescent="0.25">
      <c r="U108" s="4" t="str">
        <f t="shared" si="18"/>
        <v/>
      </c>
      <c r="V108" s="4" t="str">
        <f t="shared" si="19"/>
        <v/>
      </c>
      <c r="W108" s="9"/>
    </row>
    <row r="109" spans="21:23" x14ac:dyDescent="0.25">
      <c r="U109" s="4" t="str">
        <f t="shared" si="18"/>
        <v/>
      </c>
      <c r="V109" s="4" t="str">
        <f t="shared" si="19"/>
        <v/>
      </c>
      <c r="W109" s="9"/>
    </row>
    <row r="110" spans="21:23" x14ac:dyDescent="0.25">
      <c r="U110" s="4" t="str">
        <f t="shared" si="18"/>
        <v/>
      </c>
      <c r="V110" s="4" t="str">
        <f t="shared" si="19"/>
        <v/>
      </c>
      <c r="W110" s="9"/>
    </row>
    <row r="111" spans="21:23" x14ac:dyDescent="0.25">
      <c r="U111" s="4" t="str">
        <f t="shared" si="18"/>
        <v/>
      </c>
      <c r="V111" s="4" t="str">
        <f t="shared" si="19"/>
        <v/>
      </c>
      <c r="W111" s="9"/>
    </row>
    <row r="112" spans="21:23" x14ac:dyDescent="0.25">
      <c r="U112" s="4" t="str">
        <f t="shared" si="18"/>
        <v/>
      </c>
      <c r="V112" s="4" t="str">
        <f t="shared" si="19"/>
        <v/>
      </c>
      <c r="W112" s="9"/>
    </row>
    <row r="113" spans="21:23" x14ac:dyDescent="0.25">
      <c r="U113" s="4" t="str">
        <f t="shared" si="18"/>
        <v/>
      </c>
      <c r="V113" s="4" t="str">
        <f t="shared" si="19"/>
        <v/>
      </c>
      <c r="W113" s="9"/>
    </row>
    <row r="114" spans="21:23" x14ac:dyDescent="0.25">
      <c r="U114" s="4" t="str">
        <f t="shared" si="18"/>
        <v/>
      </c>
      <c r="V114" s="4" t="str">
        <f t="shared" si="19"/>
        <v/>
      </c>
      <c r="W114" s="9"/>
    </row>
    <row r="115" spans="21:23" x14ac:dyDescent="0.25">
      <c r="U115" s="4" t="str">
        <f t="shared" si="18"/>
        <v/>
      </c>
      <c r="V115" s="4" t="str">
        <f t="shared" si="19"/>
        <v/>
      </c>
      <c r="W115" s="9"/>
    </row>
    <row r="116" spans="21:23" x14ac:dyDescent="0.25">
      <c r="U116" s="4" t="str">
        <f t="shared" si="18"/>
        <v/>
      </c>
      <c r="V116" s="4" t="str">
        <f t="shared" si="19"/>
        <v/>
      </c>
      <c r="W116" s="9"/>
    </row>
    <row r="117" spans="21:23" x14ac:dyDescent="0.25">
      <c r="U117" s="4" t="str">
        <f t="shared" si="18"/>
        <v/>
      </c>
      <c r="V117" s="4" t="str">
        <f t="shared" si="19"/>
        <v/>
      </c>
      <c r="W117" s="9"/>
    </row>
    <row r="118" spans="21:23" x14ac:dyDescent="0.25">
      <c r="U118" s="4" t="str">
        <f t="shared" si="18"/>
        <v/>
      </c>
      <c r="V118" s="4" t="str">
        <f t="shared" si="19"/>
        <v/>
      </c>
      <c r="W118" s="9"/>
    </row>
    <row r="119" spans="21:23" x14ac:dyDescent="0.25">
      <c r="U119" s="4" t="str">
        <f t="shared" si="18"/>
        <v/>
      </c>
      <c r="V119" s="4" t="str">
        <f t="shared" si="19"/>
        <v/>
      </c>
      <c r="W119" s="9"/>
    </row>
    <row r="120" spans="21:23" x14ac:dyDescent="0.25">
      <c r="U120" s="4" t="str">
        <f t="shared" si="18"/>
        <v/>
      </c>
      <c r="V120" s="4" t="str">
        <f t="shared" si="19"/>
        <v/>
      </c>
      <c r="W120" s="9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workbookViewId="0">
      <selection activeCell="E10" activeCellId="1" sqref="D15 E10"/>
    </sheetView>
  </sheetViews>
  <sheetFormatPr defaultColWidth="20.140625" defaultRowHeight="15" x14ac:dyDescent="0.25"/>
  <cols>
    <col min="1" max="2" width="20.140625" style="4"/>
  </cols>
  <sheetData>
    <row r="1" spans="1:2" x14ac:dyDescent="0.25">
      <c r="A1" s="6" t="s">
        <v>5</v>
      </c>
      <c r="B1" s="6" t="s">
        <v>3</v>
      </c>
    </row>
    <row r="2" spans="1:2" x14ac:dyDescent="0.25">
      <c r="A2" s="7" t="s">
        <v>21</v>
      </c>
      <c r="B2" s="7" t="s">
        <v>19</v>
      </c>
    </row>
    <row r="3" spans="1:2" x14ac:dyDescent="0.25">
      <c r="A3" s="7" t="s">
        <v>31</v>
      </c>
      <c r="B3" s="7" t="s">
        <v>19</v>
      </c>
    </row>
    <row r="4" spans="1:2" x14ac:dyDescent="0.25">
      <c r="A4" s="7" t="s">
        <v>42</v>
      </c>
      <c r="B4" s="7" t="s">
        <v>40</v>
      </c>
    </row>
    <row r="5" spans="1:2" x14ac:dyDescent="0.25">
      <c r="A5" s="7" t="s">
        <v>54</v>
      </c>
      <c r="B5" s="7" t="s">
        <v>52</v>
      </c>
    </row>
    <row r="6" spans="1:2" x14ac:dyDescent="0.25">
      <c r="A6" s="7" t="s">
        <v>61</v>
      </c>
      <c r="B6" s="7" t="s">
        <v>52</v>
      </c>
    </row>
    <row r="7" spans="1:2" x14ac:dyDescent="0.25">
      <c r="A7" s="7" t="s">
        <v>68</v>
      </c>
      <c r="B7" s="7" t="s">
        <v>19</v>
      </c>
    </row>
    <row r="8" spans="1:2" x14ac:dyDescent="0.25">
      <c r="A8" s="7" t="s">
        <v>74</v>
      </c>
      <c r="B8" s="7" t="s">
        <v>19</v>
      </c>
    </row>
    <row r="9" spans="1:2" x14ac:dyDescent="0.25">
      <c r="A9" s="7" t="s">
        <v>82</v>
      </c>
      <c r="B9" s="7" t="s">
        <v>40</v>
      </c>
    </row>
    <row r="10" spans="1:2" x14ac:dyDescent="0.25">
      <c r="A10" s="7" t="s">
        <v>89</v>
      </c>
      <c r="B10" s="7" t="s">
        <v>52</v>
      </c>
    </row>
    <row r="11" spans="1:2" x14ac:dyDescent="0.25">
      <c r="A11" s="7" t="s">
        <v>95</v>
      </c>
      <c r="B11" s="7" t="s">
        <v>19</v>
      </c>
    </row>
    <row r="12" spans="1:2" x14ac:dyDescent="0.25">
      <c r="A12" s="7" t="s">
        <v>21</v>
      </c>
      <c r="B12" s="7" t="s">
        <v>19</v>
      </c>
    </row>
    <row r="13" spans="1:2" x14ac:dyDescent="0.25">
      <c r="A13" s="7" t="s">
        <v>107</v>
      </c>
      <c r="B13" s="7" t="s">
        <v>40</v>
      </c>
    </row>
    <row r="14" spans="1:2" x14ac:dyDescent="0.25">
      <c r="A14" s="7" t="s">
        <v>113</v>
      </c>
      <c r="B14" s="7" t="s">
        <v>52</v>
      </c>
    </row>
    <row r="15" spans="1:2" x14ac:dyDescent="0.25">
      <c r="A15" s="7" t="s">
        <v>119</v>
      </c>
      <c r="B15" s="7" t="s">
        <v>19</v>
      </c>
    </row>
    <row r="16" spans="1:2" x14ac:dyDescent="0.25">
      <c r="A16" s="7" t="s">
        <v>125</v>
      </c>
      <c r="B16" s="7" t="s">
        <v>40</v>
      </c>
    </row>
    <row r="17" spans="1:2" x14ac:dyDescent="0.25">
      <c r="A17" s="7" t="s">
        <v>130</v>
      </c>
      <c r="B17" s="7" t="s">
        <v>52</v>
      </c>
    </row>
    <row r="18" spans="1:2" x14ac:dyDescent="0.25">
      <c r="A18" s="7" t="s">
        <v>136</v>
      </c>
      <c r="B18" s="7" t="s">
        <v>19</v>
      </c>
    </row>
    <row r="19" spans="1:2" x14ac:dyDescent="0.25">
      <c r="A19" s="7" t="s">
        <v>31</v>
      </c>
      <c r="B19" s="7" t="s">
        <v>19</v>
      </c>
    </row>
    <row r="20" spans="1:2" x14ac:dyDescent="0.25">
      <c r="A20" s="7" t="s">
        <v>146</v>
      </c>
      <c r="B20" s="7" t="s">
        <v>40</v>
      </c>
    </row>
    <row r="21" spans="1:2" x14ac:dyDescent="0.25">
      <c r="A21" s="7" t="s">
        <v>21</v>
      </c>
      <c r="B21" s="7" t="s">
        <v>19</v>
      </c>
    </row>
    <row r="22" spans="1:2" x14ac:dyDescent="0.25">
      <c r="A22" s="7" t="s">
        <v>157</v>
      </c>
      <c r="B22" s="7" t="s">
        <v>52</v>
      </c>
    </row>
    <row r="23" spans="1:2" x14ac:dyDescent="0.25">
      <c r="A23" s="7" t="s">
        <v>163</v>
      </c>
      <c r="B23" s="7" t="s">
        <v>19</v>
      </c>
    </row>
    <row r="24" spans="1:2" x14ac:dyDescent="0.25">
      <c r="A24" s="7" t="s">
        <v>169</v>
      </c>
      <c r="B24" s="7" t="s">
        <v>40</v>
      </c>
    </row>
    <row r="25" spans="1:2" x14ac:dyDescent="0.25">
      <c r="A25" s="7" t="s">
        <v>174</v>
      </c>
      <c r="B25" s="7" t="s">
        <v>19</v>
      </c>
    </row>
    <row r="26" spans="1:2" x14ac:dyDescent="0.25">
      <c r="A26" s="7" t="s">
        <v>180</v>
      </c>
      <c r="B26" s="7" t="s">
        <v>52</v>
      </c>
    </row>
    <row r="27" spans="1:2" x14ac:dyDescent="0.25">
      <c r="A27" s="7" t="s">
        <v>74</v>
      </c>
      <c r="B27" s="7" t="s">
        <v>19</v>
      </c>
    </row>
    <row r="28" spans="1:2" x14ac:dyDescent="0.25">
      <c r="A28" s="7" t="s">
        <v>191</v>
      </c>
      <c r="B28" s="7" t="s">
        <v>40</v>
      </c>
    </row>
    <row r="29" spans="1:2" x14ac:dyDescent="0.25">
      <c r="A29" s="7" t="s">
        <v>95</v>
      </c>
      <c r="B29" s="7" t="s">
        <v>19</v>
      </c>
    </row>
    <row r="30" spans="1:2" x14ac:dyDescent="0.25">
      <c r="A30" s="7" t="s">
        <v>54</v>
      </c>
      <c r="B30" s="7" t="s">
        <v>52</v>
      </c>
    </row>
    <row r="31" spans="1:2" x14ac:dyDescent="0.25">
      <c r="A31" s="7" t="s">
        <v>208</v>
      </c>
      <c r="B31" s="7" t="s">
        <v>40</v>
      </c>
    </row>
    <row r="32" spans="1:2" x14ac:dyDescent="0.25">
      <c r="A32" s="7" t="s">
        <v>68</v>
      </c>
      <c r="B32" s="7" t="s">
        <v>19</v>
      </c>
    </row>
    <row r="33" spans="1:2" x14ac:dyDescent="0.25">
      <c r="A33" s="7" t="s">
        <v>217</v>
      </c>
      <c r="B33" s="7" t="s">
        <v>19</v>
      </c>
    </row>
    <row r="34" spans="1:2" x14ac:dyDescent="0.25">
      <c r="A34" s="7" t="s">
        <v>61</v>
      </c>
      <c r="B34" s="7" t="s">
        <v>52</v>
      </c>
    </row>
    <row r="35" spans="1:2" x14ac:dyDescent="0.25">
      <c r="A35" s="7" t="s">
        <v>228</v>
      </c>
      <c r="B35" s="7" t="s">
        <v>19</v>
      </c>
    </row>
    <row r="36" spans="1:2" x14ac:dyDescent="0.25">
      <c r="A36" s="7" t="s">
        <v>234</v>
      </c>
      <c r="B36" s="7" t="s">
        <v>40</v>
      </c>
    </row>
    <row r="37" spans="1:2" x14ac:dyDescent="0.25">
      <c r="A37" s="7" t="s">
        <v>240</v>
      </c>
      <c r="B37" s="7" t="s">
        <v>19</v>
      </c>
    </row>
    <row r="38" spans="1:2" x14ac:dyDescent="0.25">
      <c r="A38" s="7" t="s">
        <v>169</v>
      </c>
      <c r="B38" s="7" t="s">
        <v>40</v>
      </c>
    </row>
    <row r="39" spans="1:2" x14ac:dyDescent="0.25">
      <c r="A39" s="7" t="s">
        <v>89</v>
      </c>
      <c r="B39" s="7" t="s">
        <v>52</v>
      </c>
    </row>
    <row r="40" spans="1:2" x14ac:dyDescent="0.25">
      <c r="A40" s="7" t="s">
        <v>255</v>
      </c>
      <c r="B40" s="7" t="s">
        <v>19</v>
      </c>
    </row>
    <row r="41" spans="1:2" x14ac:dyDescent="0.25">
      <c r="A41" s="7" t="s">
        <v>261</v>
      </c>
      <c r="B41" s="7" t="s">
        <v>40</v>
      </c>
    </row>
    <row r="42" spans="1:2" x14ac:dyDescent="0.25">
      <c r="A42" s="7" t="s">
        <v>113</v>
      </c>
      <c r="B42" s="7" t="s">
        <v>52</v>
      </c>
    </row>
    <row r="43" spans="1:2" x14ac:dyDescent="0.25">
      <c r="A43" s="7" t="s">
        <v>21</v>
      </c>
      <c r="B43" s="7" t="s">
        <v>19</v>
      </c>
    </row>
    <row r="44" spans="1:2" x14ac:dyDescent="0.25">
      <c r="A44" s="7" t="s">
        <v>277</v>
      </c>
      <c r="B44" s="7" t="s">
        <v>40</v>
      </c>
    </row>
    <row r="45" spans="1:2" x14ac:dyDescent="0.25">
      <c r="A45" s="7" t="s">
        <v>282</v>
      </c>
      <c r="B45" s="7" t="s">
        <v>19</v>
      </c>
    </row>
    <row r="46" spans="1:2" x14ac:dyDescent="0.25">
      <c r="A46" s="7" t="s">
        <v>288</v>
      </c>
      <c r="B46" s="7" t="s">
        <v>52</v>
      </c>
    </row>
    <row r="47" spans="1:2" x14ac:dyDescent="0.25">
      <c r="A47" s="7" t="s">
        <v>180</v>
      </c>
      <c r="B47" s="7" t="s">
        <v>52</v>
      </c>
    </row>
    <row r="48" spans="1:2" x14ac:dyDescent="0.25">
      <c r="A48" s="7" t="s">
        <v>107</v>
      </c>
      <c r="B48" s="7" t="s">
        <v>40</v>
      </c>
    </row>
    <row r="49" spans="1:2" x14ac:dyDescent="0.25">
      <c r="A49" s="7" t="s">
        <v>304</v>
      </c>
      <c r="B49" s="7" t="s">
        <v>19</v>
      </c>
    </row>
    <row r="50" spans="1:2" x14ac:dyDescent="0.25">
      <c r="A50" s="7" t="s">
        <v>310</v>
      </c>
      <c r="B50" s="7" t="s">
        <v>40</v>
      </c>
    </row>
    <row r="51" spans="1:2" x14ac:dyDescent="0.25">
      <c r="A51" s="7" t="s">
        <v>316</v>
      </c>
      <c r="B51" s="7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0"/>
  <sheetViews>
    <sheetView workbookViewId="0">
      <selection activeCell="G11" sqref="G11 G15 G18 G22"/>
      <pivotSelection pane="bottomRight" showHeader="1" axis="axisRow" activeRow="10" activeCol="6" previousRow="10" previousCol="6" click="3" r:id="rId2">
        <pivotArea dataOnly="0" labelOnly="1" fieldPosition="0">
          <references count="1">
            <reference field="2" count="0"/>
          </references>
        </pivotArea>
      </pivotSelection>
    </sheetView>
  </sheetViews>
  <sheetFormatPr defaultColWidth="17.7109375" defaultRowHeight="15" x14ac:dyDescent="0.25"/>
  <cols>
    <col min="1" max="1" width="18.28515625" style="16"/>
    <col min="3" max="6" width="17.7109375" style="4"/>
    <col min="7" max="7" width="16.42578125" customWidth="1"/>
    <col min="8" max="8" width="12.140625" customWidth="1"/>
    <col min="9" max="9" width="12.5703125" customWidth="1"/>
  </cols>
  <sheetData>
    <row r="1" spans="1:9" x14ac:dyDescent="0.25">
      <c r="A1" s="17" t="s">
        <v>1</v>
      </c>
      <c r="B1" s="6" t="s">
        <v>340</v>
      </c>
      <c r="C1" s="6" t="s">
        <v>7</v>
      </c>
      <c r="D1" s="6" t="s">
        <v>8</v>
      </c>
      <c r="E1" s="6" t="s">
        <v>10</v>
      </c>
      <c r="F1" s="6" t="s">
        <v>13</v>
      </c>
    </row>
    <row r="2" spans="1:9" x14ac:dyDescent="0.25">
      <c r="A2" s="16">
        <v>44929</v>
      </c>
      <c r="B2" s="7" t="s">
        <v>19</v>
      </c>
      <c r="C2" s="7" t="s">
        <v>23</v>
      </c>
      <c r="D2" s="7" t="s">
        <v>24</v>
      </c>
      <c r="E2" s="7">
        <v>82000</v>
      </c>
      <c r="F2" s="7">
        <v>6500</v>
      </c>
      <c r="G2" s="12" t="s">
        <v>341</v>
      </c>
      <c r="H2" t="s">
        <v>343</v>
      </c>
      <c r="I2" t="s">
        <v>344</v>
      </c>
    </row>
    <row r="3" spans="1:9" x14ac:dyDescent="0.25">
      <c r="A3" s="16">
        <v>44931</v>
      </c>
      <c r="B3" s="7" t="s">
        <v>19</v>
      </c>
      <c r="C3" s="7" t="s">
        <v>33</v>
      </c>
      <c r="D3" s="7" t="s">
        <v>34</v>
      </c>
      <c r="E3" s="7">
        <v>12500</v>
      </c>
      <c r="F3" s="7">
        <v>-1500</v>
      </c>
      <c r="G3" s="13" t="s">
        <v>19</v>
      </c>
      <c r="H3" s="14">
        <v>376370</v>
      </c>
      <c r="I3" s="14">
        <v>2100</v>
      </c>
    </row>
    <row r="4" spans="1:9" x14ac:dyDescent="0.25">
      <c r="A4" s="16">
        <v>44936</v>
      </c>
      <c r="B4" s="7" t="s">
        <v>40</v>
      </c>
      <c r="C4" s="7" t="s">
        <v>44</v>
      </c>
      <c r="D4" s="7" t="s">
        <v>45</v>
      </c>
      <c r="E4" s="7">
        <v>350</v>
      </c>
      <c r="F4" s="7">
        <v>120</v>
      </c>
      <c r="G4" s="13" t="s">
        <v>40</v>
      </c>
      <c r="H4" s="14">
        <v>283520</v>
      </c>
      <c r="I4" s="14">
        <v>-1060</v>
      </c>
    </row>
    <row r="5" spans="1:9" x14ac:dyDescent="0.25">
      <c r="A5" s="16">
        <v>44938</v>
      </c>
      <c r="B5" s="7" t="s">
        <v>52</v>
      </c>
      <c r="C5" s="7" t="s">
        <v>23</v>
      </c>
      <c r="D5" s="7" t="s">
        <v>55</v>
      </c>
      <c r="E5" s="7">
        <v>120000</v>
      </c>
      <c r="F5" s="7">
        <v>9000</v>
      </c>
      <c r="G5" s="13" t="s">
        <v>52</v>
      </c>
      <c r="H5" s="14">
        <v>572900</v>
      </c>
      <c r="I5" s="14">
        <v>24900</v>
      </c>
    </row>
    <row r="6" spans="1:9" x14ac:dyDescent="0.25">
      <c r="A6" s="16">
        <v>44939</v>
      </c>
      <c r="B6" s="7" t="s">
        <v>52</v>
      </c>
      <c r="C6" s="7" t="s">
        <v>33</v>
      </c>
      <c r="D6" s="7" t="s">
        <v>63</v>
      </c>
      <c r="E6" s="7">
        <v>18000</v>
      </c>
      <c r="F6" s="7">
        <v>-2200</v>
      </c>
      <c r="G6" s="13" t="s">
        <v>342</v>
      </c>
      <c r="H6" s="14">
        <v>1232790</v>
      </c>
      <c r="I6" s="14">
        <v>25940</v>
      </c>
    </row>
    <row r="7" spans="1:9" x14ac:dyDescent="0.25">
      <c r="A7" s="16">
        <v>44946</v>
      </c>
      <c r="B7" s="7" t="s">
        <v>19</v>
      </c>
      <c r="C7" s="7" t="s">
        <v>23</v>
      </c>
      <c r="D7" s="7" t="s">
        <v>69</v>
      </c>
      <c r="E7" s="7">
        <v>4500</v>
      </c>
      <c r="F7" s="7">
        <v>900</v>
      </c>
    </row>
    <row r="8" spans="1:9" x14ac:dyDescent="0.25">
      <c r="A8" s="16">
        <v>44948</v>
      </c>
      <c r="B8" s="7" t="s">
        <v>19</v>
      </c>
      <c r="C8" s="7" t="s">
        <v>44</v>
      </c>
      <c r="D8" s="7" t="s">
        <v>76</v>
      </c>
      <c r="E8" s="7">
        <v>900</v>
      </c>
      <c r="F8" s="7">
        <v>100</v>
      </c>
    </row>
    <row r="9" spans="1:9" x14ac:dyDescent="0.25">
      <c r="A9" s="16">
        <v>44951</v>
      </c>
      <c r="B9" s="7" t="s">
        <v>40</v>
      </c>
      <c r="C9" s="7" t="s">
        <v>33</v>
      </c>
      <c r="D9" s="7" t="s">
        <v>84</v>
      </c>
      <c r="E9" s="7">
        <v>3200</v>
      </c>
      <c r="F9" s="7">
        <v>-400</v>
      </c>
    </row>
    <row r="10" spans="1:9" x14ac:dyDescent="0.25">
      <c r="A10" s="16">
        <v>44953</v>
      </c>
      <c r="B10" s="7" t="s">
        <v>52</v>
      </c>
      <c r="C10" s="7" t="s">
        <v>23</v>
      </c>
      <c r="D10" s="7" t="s">
        <v>24</v>
      </c>
      <c r="E10" s="7">
        <v>72000</v>
      </c>
      <c r="F10" s="7">
        <v>-3000</v>
      </c>
      <c r="G10" s="12" t="s">
        <v>341</v>
      </c>
      <c r="H10" t="s">
        <v>343</v>
      </c>
      <c r="I10" t="s">
        <v>344</v>
      </c>
    </row>
    <row r="11" spans="1:9" x14ac:dyDescent="0.25">
      <c r="A11" s="16">
        <v>44959</v>
      </c>
      <c r="B11" s="7" t="s">
        <v>19</v>
      </c>
      <c r="C11" s="7" t="s">
        <v>44</v>
      </c>
      <c r="D11" s="7" t="s">
        <v>45</v>
      </c>
      <c r="E11" s="7">
        <v>150</v>
      </c>
      <c r="F11" s="7">
        <v>40</v>
      </c>
      <c r="G11" s="13" t="s">
        <v>33</v>
      </c>
      <c r="H11" s="14">
        <v>172200</v>
      </c>
      <c r="I11" s="14">
        <v>-13800</v>
      </c>
    </row>
    <row r="12" spans="1:9" x14ac:dyDescent="0.25">
      <c r="A12" s="16">
        <v>44960</v>
      </c>
      <c r="B12" s="7" t="s">
        <v>19</v>
      </c>
      <c r="C12" s="7" t="s">
        <v>23</v>
      </c>
      <c r="D12" s="7" t="s">
        <v>55</v>
      </c>
      <c r="E12" s="7">
        <v>104000</v>
      </c>
      <c r="F12" s="7">
        <v>7000</v>
      </c>
      <c r="G12" s="15" t="s">
        <v>34</v>
      </c>
      <c r="H12" s="14">
        <v>53700</v>
      </c>
      <c r="I12" s="14">
        <v>-7050</v>
      </c>
    </row>
    <row r="13" spans="1:9" x14ac:dyDescent="0.25">
      <c r="A13" s="16">
        <v>44962</v>
      </c>
      <c r="B13" s="7" t="s">
        <v>40</v>
      </c>
      <c r="C13" s="7" t="s">
        <v>33</v>
      </c>
      <c r="D13" s="7" t="s">
        <v>34</v>
      </c>
      <c r="E13" s="7">
        <v>15000</v>
      </c>
      <c r="F13" s="7">
        <v>-2500</v>
      </c>
      <c r="G13" s="15" t="s">
        <v>84</v>
      </c>
      <c r="H13" s="14">
        <v>13500</v>
      </c>
      <c r="I13" s="14">
        <v>-750</v>
      </c>
    </row>
    <row r="14" spans="1:9" x14ac:dyDescent="0.25">
      <c r="A14" s="16">
        <v>44966</v>
      </c>
      <c r="B14" s="7" t="s">
        <v>52</v>
      </c>
      <c r="C14" s="7" t="s">
        <v>23</v>
      </c>
      <c r="D14" s="7" t="s">
        <v>69</v>
      </c>
      <c r="E14" s="7">
        <v>6200</v>
      </c>
      <c r="F14" s="7">
        <v>500</v>
      </c>
      <c r="G14" s="15" t="s">
        <v>63</v>
      </c>
      <c r="H14" s="14">
        <v>105000</v>
      </c>
      <c r="I14" s="14">
        <v>-6000</v>
      </c>
    </row>
    <row r="15" spans="1:9" x14ac:dyDescent="0.25">
      <c r="A15" s="16">
        <v>44968</v>
      </c>
      <c r="B15" s="7" t="s">
        <v>19</v>
      </c>
      <c r="C15" s="7" t="s">
        <v>33</v>
      </c>
      <c r="D15" s="7" t="s">
        <v>63</v>
      </c>
      <c r="E15" s="7">
        <v>22000</v>
      </c>
      <c r="F15" s="7">
        <v>-4000</v>
      </c>
      <c r="G15" s="13" t="s">
        <v>44</v>
      </c>
      <c r="H15" s="14">
        <v>6490</v>
      </c>
      <c r="I15" s="14">
        <v>990</v>
      </c>
    </row>
    <row r="16" spans="1:9" x14ac:dyDescent="0.25">
      <c r="A16" s="16">
        <v>44972</v>
      </c>
      <c r="B16" s="7" t="s">
        <v>40</v>
      </c>
      <c r="C16" s="7" t="s">
        <v>44</v>
      </c>
      <c r="D16" s="7" t="s">
        <v>45</v>
      </c>
      <c r="E16" s="7">
        <v>420</v>
      </c>
      <c r="F16" s="7">
        <v>160</v>
      </c>
      <c r="G16" s="15" t="s">
        <v>76</v>
      </c>
      <c r="H16" s="14">
        <v>4430</v>
      </c>
      <c r="I16" s="14">
        <v>270</v>
      </c>
    </row>
    <row r="17" spans="1:9" x14ac:dyDescent="0.25">
      <c r="A17" s="16">
        <v>44975</v>
      </c>
      <c r="B17" s="7" t="s">
        <v>52</v>
      </c>
      <c r="C17" s="7" t="s">
        <v>23</v>
      </c>
      <c r="D17" s="7" t="s">
        <v>55</v>
      </c>
      <c r="E17" s="7">
        <v>78000</v>
      </c>
      <c r="F17" s="7">
        <v>5000</v>
      </c>
      <c r="G17" s="15" t="s">
        <v>45</v>
      </c>
      <c r="H17" s="14">
        <v>2060</v>
      </c>
      <c r="I17" s="14">
        <v>720</v>
      </c>
    </row>
    <row r="18" spans="1:9" x14ac:dyDescent="0.25">
      <c r="A18" s="16">
        <v>44977</v>
      </c>
      <c r="B18" s="7" t="s">
        <v>19</v>
      </c>
      <c r="C18" s="7" t="s">
        <v>23</v>
      </c>
      <c r="D18" s="7" t="s">
        <v>69</v>
      </c>
      <c r="E18" s="7">
        <v>2500</v>
      </c>
      <c r="F18" s="7">
        <v>200</v>
      </c>
      <c r="G18" s="13" t="s">
        <v>23</v>
      </c>
      <c r="H18" s="14">
        <v>1054100</v>
      </c>
      <c r="I18" s="14">
        <v>38750</v>
      </c>
    </row>
    <row r="19" spans="1:9" x14ac:dyDescent="0.25">
      <c r="A19" s="16">
        <v>44979</v>
      </c>
      <c r="B19" s="7" t="s">
        <v>19</v>
      </c>
      <c r="C19" s="7" t="s">
        <v>33</v>
      </c>
      <c r="D19" s="7" t="s">
        <v>84</v>
      </c>
      <c r="E19" s="7">
        <v>1800</v>
      </c>
      <c r="F19" s="7">
        <v>100</v>
      </c>
      <c r="G19" s="15" t="s">
        <v>69</v>
      </c>
      <c r="H19" s="14">
        <v>51100</v>
      </c>
      <c r="I19" s="14">
        <v>4150</v>
      </c>
    </row>
    <row r="20" spans="1:9" x14ac:dyDescent="0.25">
      <c r="A20" s="16">
        <v>44981</v>
      </c>
      <c r="B20" s="7" t="s">
        <v>40</v>
      </c>
      <c r="C20" s="7" t="s">
        <v>23</v>
      </c>
      <c r="D20" s="7" t="s">
        <v>55</v>
      </c>
      <c r="E20" s="7">
        <v>58000</v>
      </c>
      <c r="F20" s="7">
        <v>-5000</v>
      </c>
      <c r="G20" s="15" t="s">
        <v>24</v>
      </c>
      <c r="H20" s="14">
        <v>483000</v>
      </c>
      <c r="I20" s="14">
        <v>17500</v>
      </c>
    </row>
    <row r="21" spans="1:9" x14ac:dyDescent="0.25">
      <c r="A21" s="16">
        <v>44983</v>
      </c>
      <c r="B21" s="7" t="s">
        <v>19</v>
      </c>
      <c r="C21" s="7" t="s">
        <v>44</v>
      </c>
      <c r="D21" s="7" t="s">
        <v>76</v>
      </c>
      <c r="E21" s="7">
        <v>850</v>
      </c>
      <c r="F21" s="7">
        <v>150</v>
      </c>
      <c r="G21" s="15" t="s">
        <v>55</v>
      </c>
      <c r="H21" s="14">
        <v>520000</v>
      </c>
      <c r="I21" s="14">
        <v>17100</v>
      </c>
    </row>
    <row r="22" spans="1:9" x14ac:dyDescent="0.25">
      <c r="A22" s="16">
        <v>44988</v>
      </c>
      <c r="B22" s="7" t="s">
        <v>52</v>
      </c>
      <c r="C22" s="7" t="s">
        <v>23</v>
      </c>
      <c r="D22" s="7" t="s">
        <v>24</v>
      </c>
      <c r="E22" s="7">
        <v>105000</v>
      </c>
      <c r="F22" s="7">
        <v>8000</v>
      </c>
      <c r="G22" s="13" t="s">
        <v>345</v>
      </c>
      <c r="H22" s="14"/>
      <c r="I22" s="14"/>
    </row>
    <row r="23" spans="1:9" x14ac:dyDescent="0.25">
      <c r="A23" s="16">
        <v>44989</v>
      </c>
      <c r="B23" s="7" t="s">
        <v>19</v>
      </c>
      <c r="C23" s="7" t="s">
        <v>33</v>
      </c>
      <c r="D23" s="7" t="s">
        <v>34</v>
      </c>
      <c r="E23" s="7">
        <v>1100</v>
      </c>
      <c r="F23" s="7">
        <v>-200</v>
      </c>
      <c r="G23" s="15" t="s">
        <v>345</v>
      </c>
      <c r="H23" s="14"/>
      <c r="I23" s="14"/>
    </row>
    <row r="24" spans="1:9" x14ac:dyDescent="0.25">
      <c r="A24" s="16">
        <v>44990</v>
      </c>
      <c r="B24" s="7" t="s">
        <v>40</v>
      </c>
      <c r="C24" s="7" t="s">
        <v>23</v>
      </c>
      <c r="D24" s="7" t="s">
        <v>69</v>
      </c>
      <c r="E24" s="7">
        <v>5400</v>
      </c>
      <c r="F24" s="7">
        <v>300</v>
      </c>
      <c r="G24" s="13" t="s">
        <v>342</v>
      </c>
      <c r="H24" s="14">
        <v>1232790</v>
      </c>
      <c r="I24" s="14">
        <v>25940</v>
      </c>
    </row>
    <row r="25" spans="1:9" x14ac:dyDescent="0.25">
      <c r="A25" s="16">
        <v>44992</v>
      </c>
      <c r="B25" s="7" t="s">
        <v>19</v>
      </c>
      <c r="C25" s="7" t="s">
        <v>44</v>
      </c>
      <c r="D25" s="7" t="s">
        <v>45</v>
      </c>
      <c r="E25" s="7">
        <v>280</v>
      </c>
      <c r="F25" s="7">
        <v>120</v>
      </c>
    </row>
    <row r="26" spans="1:9" x14ac:dyDescent="0.25">
      <c r="A26" s="16">
        <v>44993</v>
      </c>
      <c r="B26" s="7" t="s">
        <v>52</v>
      </c>
      <c r="C26" s="7" t="s">
        <v>33</v>
      </c>
      <c r="D26" s="7" t="s">
        <v>63</v>
      </c>
      <c r="E26" s="7">
        <v>32000</v>
      </c>
      <c r="F26" s="7">
        <v>1800</v>
      </c>
    </row>
    <row r="27" spans="1:9" x14ac:dyDescent="0.25">
      <c r="A27" s="16">
        <v>44996</v>
      </c>
      <c r="B27" s="7" t="s">
        <v>19</v>
      </c>
      <c r="C27" s="7" t="s">
        <v>23</v>
      </c>
      <c r="D27" s="7" t="s">
        <v>55</v>
      </c>
      <c r="E27" s="7">
        <v>24000</v>
      </c>
      <c r="F27" s="7">
        <v>-3000</v>
      </c>
    </row>
    <row r="28" spans="1:9" x14ac:dyDescent="0.25">
      <c r="A28" s="16">
        <v>44999</v>
      </c>
      <c r="B28" s="7" t="s">
        <v>40</v>
      </c>
      <c r="C28" s="7" t="s">
        <v>33</v>
      </c>
      <c r="D28" s="7" t="s">
        <v>34</v>
      </c>
      <c r="E28" s="7">
        <v>17000</v>
      </c>
      <c r="F28" s="7">
        <v>-2000</v>
      </c>
      <c r="G28" s="12" t="s">
        <v>341</v>
      </c>
      <c r="H28" t="s">
        <v>343</v>
      </c>
    </row>
    <row r="29" spans="1:9" x14ac:dyDescent="0.25">
      <c r="A29" s="16">
        <v>45001</v>
      </c>
      <c r="B29" s="7" t="s">
        <v>19</v>
      </c>
      <c r="C29" s="7" t="s">
        <v>44</v>
      </c>
      <c r="D29" s="7" t="s">
        <v>76</v>
      </c>
      <c r="E29" s="7">
        <v>780</v>
      </c>
      <c r="F29" s="7">
        <v>50</v>
      </c>
      <c r="G29" s="13" t="s">
        <v>345</v>
      </c>
      <c r="H29" s="14"/>
    </row>
    <row r="30" spans="1:9" x14ac:dyDescent="0.25">
      <c r="A30" s="16">
        <v>45003</v>
      </c>
      <c r="B30" s="7" t="s">
        <v>52</v>
      </c>
      <c r="C30" s="7" t="s">
        <v>23</v>
      </c>
      <c r="D30" s="7" t="s">
        <v>69</v>
      </c>
      <c r="E30" s="7">
        <v>21000</v>
      </c>
      <c r="F30" s="7">
        <v>1500</v>
      </c>
      <c r="G30" s="13" t="s">
        <v>346</v>
      </c>
      <c r="H30" s="14">
        <v>313450</v>
      </c>
    </row>
    <row r="31" spans="1:9" x14ac:dyDescent="0.25">
      <c r="A31" s="16">
        <v>45005</v>
      </c>
      <c r="B31" s="7" t="s">
        <v>40</v>
      </c>
      <c r="C31" s="7" t="s">
        <v>23</v>
      </c>
      <c r="D31" s="7" t="s">
        <v>55</v>
      </c>
      <c r="E31" s="7">
        <v>41000</v>
      </c>
      <c r="F31" s="7">
        <v>-2000</v>
      </c>
      <c r="G31" s="13" t="s">
        <v>347</v>
      </c>
      <c r="H31" s="14">
        <v>288920</v>
      </c>
    </row>
    <row r="32" spans="1:9" x14ac:dyDescent="0.25">
      <c r="A32" s="16">
        <v>45007</v>
      </c>
      <c r="B32" s="7" t="s">
        <v>19</v>
      </c>
      <c r="C32" s="7" t="s">
        <v>44</v>
      </c>
      <c r="D32" s="7" t="s">
        <v>45</v>
      </c>
      <c r="E32" s="7">
        <v>300</v>
      </c>
      <c r="F32" s="7">
        <v>140</v>
      </c>
      <c r="G32" s="13" t="s">
        <v>348</v>
      </c>
      <c r="H32" s="14">
        <v>259760</v>
      </c>
    </row>
    <row r="33" spans="1:8" x14ac:dyDescent="0.25">
      <c r="A33" s="16">
        <v>45010</v>
      </c>
      <c r="B33" s="7" t="s">
        <v>19</v>
      </c>
      <c r="C33" s="7" t="s">
        <v>33</v>
      </c>
      <c r="D33" s="7" t="s">
        <v>84</v>
      </c>
      <c r="E33" s="7">
        <v>2200</v>
      </c>
      <c r="F33" s="7">
        <v>-150</v>
      </c>
      <c r="G33" s="13" t="s">
        <v>349</v>
      </c>
      <c r="H33" s="14">
        <v>370660</v>
      </c>
    </row>
    <row r="34" spans="1:8" x14ac:dyDescent="0.25">
      <c r="A34" s="16">
        <v>45012</v>
      </c>
      <c r="B34" s="7" t="s">
        <v>52</v>
      </c>
      <c r="C34" s="7" t="s">
        <v>23</v>
      </c>
      <c r="D34" s="7" t="s">
        <v>69</v>
      </c>
      <c r="E34" s="7">
        <v>3200</v>
      </c>
      <c r="F34" s="7">
        <v>200</v>
      </c>
      <c r="G34" s="13" t="s">
        <v>342</v>
      </c>
      <c r="H34" s="14">
        <v>1232790</v>
      </c>
    </row>
    <row r="35" spans="1:8" x14ac:dyDescent="0.25">
      <c r="A35" s="16">
        <v>45013</v>
      </c>
      <c r="B35" s="7" t="s">
        <v>19</v>
      </c>
      <c r="C35" s="7" t="s">
        <v>33</v>
      </c>
      <c r="D35" s="7" t="s">
        <v>34</v>
      </c>
      <c r="E35" s="7">
        <v>5200</v>
      </c>
      <c r="F35" s="7">
        <v>-600</v>
      </c>
    </row>
    <row r="36" spans="1:8" x14ac:dyDescent="0.25">
      <c r="A36" s="16">
        <v>45015</v>
      </c>
      <c r="B36" s="7" t="s">
        <v>40</v>
      </c>
      <c r="C36" s="7" t="s">
        <v>44</v>
      </c>
      <c r="D36" s="7" t="s">
        <v>76</v>
      </c>
      <c r="E36" s="7">
        <v>1300</v>
      </c>
      <c r="F36" s="7">
        <v>-50</v>
      </c>
    </row>
    <row r="37" spans="1:8" x14ac:dyDescent="0.25">
      <c r="A37" s="16">
        <v>45017</v>
      </c>
      <c r="B37" s="7" t="s">
        <v>19</v>
      </c>
      <c r="C37" s="7" t="s">
        <v>23</v>
      </c>
      <c r="D37" s="7" t="s">
        <v>24</v>
      </c>
      <c r="E37" s="7">
        <v>58000</v>
      </c>
      <c r="F37" s="7">
        <v>-2000</v>
      </c>
    </row>
    <row r="38" spans="1:8" x14ac:dyDescent="0.25">
      <c r="A38" s="16">
        <v>45018</v>
      </c>
      <c r="B38" s="7" t="s">
        <v>40</v>
      </c>
      <c r="C38" s="7" t="s">
        <v>33</v>
      </c>
      <c r="D38" s="7" t="s">
        <v>63</v>
      </c>
      <c r="E38" s="7">
        <v>14000</v>
      </c>
      <c r="F38" s="7">
        <v>700</v>
      </c>
    </row>
    <row r="39" spans="1:8" x14ac:dyDescent="0.25">
      <c r="A39" s="16">
        <v>45020</v>
      </c>
      <c r="B39" s="7" t="s">
        <v>52</v>
      </c>
      <c r="C39" s="7" t="s">
        <v>23</v>
      </c>
      <c r="D39" s="7" t="s">
        <v>55</v>
      </c>
      <c r="E39" s="7">
        <v>65000</v>
      </c>
      <c r="F39" s="7">
        <v>4500</v>
      </c>
    </row>
    <row r="40" spans="1:8" x14ac:dyDescent="0.25">
      <c r="A40" s="16">
        <v>45022</v>
      </c>
      <c r="B40" s="7" t="s">
        <v>19</v>
      </c>
      <c r="C40" s="7" t="s">
        <v>44</v>
      </c>
      <c r="D40" s="7" t="s">
        <v>45</v>
      </c>
      <c r="E40" s="7">
        <v>310</v>
      </c>
      <c r="F40" s="7">
        <v>80</v>
      </c>
    </row>
    <row r="41" spans="1:8" x14ac:dyDescent="0.25">
      <c r="A41" s="16">
        <v>45025</v>
      </c>
      <c r="B41" s="7" t="s">
        <v>40</v>
      </c>
      <c r="C41" s="7" t="s">
        <v>33</v>
      </c>
      <c r="D41" s="7" t="s">
        <v>84</v>
      </c>
      <c r="E41" s="7">
        <v>2800</v>
      </c>
      <c r="F41" s="7">
        <v>-200</v>
      </c>
    </row>
    <row r="42" spans="1:8" x14ac:dyDescent="0.25">
      <c r="A42" s="16">
        <v>45027</v>
      </c>
      <c r="B42" s="7" t="s">
        <v>52</v>
      </c>
      <c r="C42" s="7" t="s">
        <v>23</v>
      </c>
      <c r="D42" s="7" t="s">
        <v>69</v>
      </c>
      <c r="E42" s="7">
        <v>3500</v>
      </c>
      <c r="F42" s="7">
        <v>300</v>
      </c>
    </row>
    <row r="43" spans="1:8" x14ac:dyDescent="0.25">
      <c r="A43" s="16">
        <v>45030</v>
      </c>
      <c r="B43" s="7" t="s">
        <v>19</v>
      </c>
      <c r="C43" s="7" t="s">
        <v>33</v>
      </c>
      <c r="D43" s="7" t="s">
        <v>34</v>
      </c>
      <c r="E43" s="7">
        <v>2900</v>
      </c>
      <c r="F43" s="7">
        <v>-250</v>
      </c>
    </row>
    <row r="44" spans="1:8" x14ac:dyDescent="0.25">
      <c r="A44" s="16">
        <v>45031</v>
      </c>
      <c r="B44" s="7" t="s">
        <v>40</v>
      </c>
      <c r="C44" s="7" t="s">
        <v>23</v>
      </c>
      <c r="D44" s="7" t="s">
        <v>24</v>
      </c>
      <c r="E44" s="7">
        <v>120000</v>
      </c>
      <c r="F44" s="7">
        <v>9500</v>
      </c>
    </row>
    <row r="45" spans="1:8" x14ac:dyDescent="0.25">
      <c r="A45" s="16">
        <v>45033</v>
      </c>
      <c r="B45" s="7" t="s">
        <v>19</v>
      </c>
      <c r="C45" s="7" t="s">
        <v>44</v>
      </c>
      <c r="D45" s="7" t="s">
        <v>76</v>
      </c>
      <c r="E45" s="7">
        <v>600</v>
      </c>
      <c r="F45" s="7">
        <v>20</v>
      </c>
    </row>
    <row r="46" spans="1:8" x14ac:dyDescent="0.25">
      <c r="A46" s="16">
        <v>45034</v>
      </c>
      <c r="B46" s="7" t="s">
        <v>52</v>
      </c>
      <c r="C46" s="7" t="s">
        <v>33</v>
      </c>
      <c r="D46" s="7" t="s">
        <v>63</v>
      </c>
      <c r="E46" s="7">
        <v>19000</v>
      </c>
      <c r="F46" s="7">
        <v>-2300</v>
      </c>
    </row>
    <row r="47" spans="1:8" x14ac:dyDescent="0.25">
      <c r="A47" s="16">
        <v>45037</v>
      </c>
      <c r="B47" s="7" t="s">
        <v>52</v>
      </c>
      <c r="C47" s="7" t="s">
        <v>23</v>
      </c>
      <c r="D47" s="7" t="s">
        <v>55</v>
      </c>
      <c r="E47" s="7">
        <v>30000</v>
      </c>
      <c r="F47" s="7">
        <v>1600</v>
      </c>
    </row>
    <row r="48" spans="1:8" x14ac:dyDescent="0.25">
      <c r="A48" s="16">
        <v>45038</v>
      </c>
      <c r="B48" s="7" t="s">
        <v>40</v>
      </c>
      <c r="C48" s="7" t="s">
        <v>44</v>
      </c>
      <c r="D48" s="7" t="s">
        <v>45</v>
      </c>
      <c r="E48" s="7">
        <v>250</v>
      </c>
      <c r="F48" s="7">
        <v>60</v>
      </c>
    </row>
    <row r="49" spans="1:6" x14ac:dyDescent="0.25">
      <c r="A49" s="16">
        <v>45040</v>
      </c>
      <c r="B49" s="7" t="s">
        <v>19</v>
      </c>
      <c r="C49" s="7" t="s">
        <v>33</v>
      </c>
      <c r="D49" s="7" t="s">
        <v>84</v>
      </c>
      <c r="E49" s="7">
        <v>3500</v>
      </c>
      <c r="F49" s="7">
        <v>-100</v>
      </c>
    </row>
    <row r="50" spans="1:6" x14ac:dyDescent="0.25">
      <c r="A50" s="16">
        <v>45042</v>
      </c>
      <c r="B50" s="7" t="s">
        <v>40</v>
      </c>
      <c r="C50" s="7" t="s">
        <v>23</v>
      </c>
      <c r="D50" s="7" t="s">
        <v>69</v>
      </c>
      <c r="E50" s="7">
        <v>4800</v>
      </c>
      <c r="F50" s="7">
        <v>250</v>
      </c>
    </row>
    <row r="51" spans="1:6" x14ac:dyDescent="0.25">
      <c r="A51" s="16">
        <v>45044</v>
      </c>
      <c r="B51" s="7" t="s">
        <v>19</v>
      </c>
      <c r="C51" s="7" t="s">
        <v>23</v>
      </c>
      <c r="D51" s="7" t="s">
        <v>24</v>
      </c>
      <c r="E51" s="7">
        <v>46000</v>
      </c>
      <c r="F51" s="7">
        <v>-1500</v>
      </c>
    </row>
    <row r="52" spans="1:6" x14ac:dyDescent="0.25">
      <c r="B52" s="7"/>
      <c r="C52" s="7"/>
      <c r="D52" s="7"/>
      <c r="E52" s="7"/>
      <c r="F52" s="7"/>
    </row>
    <row r="53" spans="1:6" x14ac:dyDescent="0.25">
      <c r="B53" s="7"/>
      <c r="C53" s="7"/>
      <c r="D53" s="7"/>
      <c r="E53" s="7"/>
      <c r="F53" s="7"/>
    </row>
    <row r="54" spans="1:6" x14ac:dyDescent="0.25">
      <c r="B54" s="7"/>
      <c r="C54" s="7"/>
      <c r="D54" s="7"/>
      <c r="E54" s="7"/>
      <c r="F54" s="7"/>
    </row>
    <row r="55" spans="1:6" x14ac:dyDescent="0.25">
      <c r="B55" s="7"/>
      <c r="C55" s="7"/>
      <c r="D55" s="7"/>
      <c r="E55" s="7"/>
      <c r="F55" s="7"/>
    </row>
    <row r="56" spans="1:6" x14ac:dyDescent="0.25">
      <c r="B56" s="7"/>
      <c r="C56" s="7"/>
      <c r="D56" s="7"/>
      <c r="E56" s="7"/>
      <c r="F56" s="7"/>
    </row>
    <row r="57" spans="1:6" x14ac:dyDescent="0.25">
      <c r="B57" s="7"/>
      <c r="C57" s="7"/>
      <c r="D57" s="7"/>
      <c r="E57" s="7"/>
      <c r="F57" s="7"/>
    </row>
    <row r="58" spans="1:6" x14ac:dyDescent="0.25">
      <c r="B58" s="7"/>
      <c r="C58" s="7"/>
      <c r="D58" s="7"/>
      <c r="E58" s="7"/>
      <c r="F58" s="7"/>
    </row>
    <row r="59" spans="1:6" x14ac:dyDescent="0.25">
      <c r="B59" s="7"/>
      <c r="C59" s="7"/>
      <c r="D59" s="7"/>
      <c r="E59" s="7"/>
      <c r="F59" s="7"/>
    </row>
    <row r="60" spans="1:6" x14ac:dyDescent="0.25">
      <c r="B60" s="7"/>
      <c r="C60" s="7"/>
      <c r="D60" s="7"/>
      <c r="E60" s="7"/>
      <c r="F60" s="7"/>
    </row>
    <row r="61" spans="1:6" x14ac:dyDescent="0.25">
      <c r="B61" s="7"/>
      <c r="C61" s="7"/>
      <c r="D61" s="7"/>
      <c r="E61" s="7"/>
      <c r="F61" s="7"/>
    </row>
    <row r="62" spans="1:6" x14ac:dyDescent="0.25">
      <c r="B62" s="7"/>
      <c r="C62" s="7"/>
      <c r="D62" s="7"/>
      <c r="E62" s="7"/>
      <c r="F62" s="7"/>
    </row>
    <row r="63" spans="1:6" x14ac:dyDescent="0.25">
      <c r="B63" s="7"/>
      <c r="C63" s="7"/>
      <c r="D63" s="7"/>
      <c r="E63" s="7"/>
      <c r="F63" s="7"/>
    </row>
    <row r="64" spans="1:6" x14ac:dyDescent="0.25">
      <c r="B64" s="7"/>
      <c r="C64" s="7"/>
      <c r="D64" s="7"/>
      <c r="E64" s="7"/>
      <c r="F64" s="7"/>
    </row>
    <row r="65" spans="2:6" x14ac:dyDescent="0.25">
      <c r="B65" s="7"/>
      <c r="C65" s="7"/>
      <c r="D65" s="7"/>
      <c r="E65" s="7"/>
      <c r="F65" s="7"/>
    </row>
    <row r="66" spans="2:6" x14ac:dyDescent="0.25">
      <c r="B66" s="7"/>
      <c r="C66" s="7"/>
      <c r="D66" s="7"/>
      <c r="E66" s="7"/>
      <c r="F66" s="7"/>
    </row>
    <row r="67" spans="2:6" x14ac:dyDescent="0.25">
      <c r="B67" s="7"/>
      <c r="C67" s="7"/>
      <c r="D67" s="7"/>
      <c r="E67" s="7"/>
      <c r="F67" s="7"/>
    </row>
    <row r="68" spans="2:6" x14ac:dyDescent="0.25">
      <c r="B68" s="7"/>
      <c r="C68" s="7"/>
      <c r="D68" s="7"/>
      <c r="E68" s="7"/>
      <c r="F68" s="7"/>
    </row>
    <row r="69" spans="2:6" x14ac:dyDescent="0.25">
      <c r="B69" s="7"/>
      <c r="C69" s="7"/>
      <c r="D69" s="7"/>
      <c r="E69" s="7"/>
      <c r="F69" s="7"/>
    </row>
    <row r="70" spans="2:6" x14ac:dyDescent="0.25">
      <c r="B70" s="7"/>
      <c r="C70" s="7"/>
      <c r="D70" s="7"/>
      <c r="E70" s="7"/>
      <c r="F70" s="7"/>
    </row>
    <row r="71" spans="2:6" x14ac:dyDescent="0.25">
      <c r="B71" s="7"/>
      <c r="C71" s="7"/>
      <c r="D71" s="7"/>
      <c r="E71" s="7"/>
      <c r="F71" s="7"/>
    </row>
    <row r="72" spans="2:6" x14ac:dyDescent="0.25">
      <c r="B72" s="7"/>
      <c r="C72" s="7"/>
      <c r="D72" s="7"/>
      <c r="E72" s="7"/>
      <c r="F72" s="7"/>
    </row>
    <row r="73" spans="2:6" x14ac:dyDescent="0.25">
      <c r="B73" s="7"/>
      <c r="C73" s="7"/>
      <c r="D73" s="7"/>
      <c r="E73" s="7"/>
      <c r="F73" s="7"/>
    </row>
    <row r="74" spans="2:6" x14ac:dyDescent="0.25">
      <c r="B74" s="7"/>
      <c r="C74" s="7"/>
      <c r="D74" s="7"/>
      <c r="E74" s="7"/>
      <c r="F74" s="7"/>
    </row>
    <row r="75" spans="2:6" x14ac:dyDescent="0.25">
      <c r="B75" s="7"/>
      <c r="C75" s="7"/>
      <c r="D75" s="7"/>
      <c r="E75" s="7"/>
      <c r="F75" s="7"/>
    </row>
    <row r="76" spans="2:6" x14ac:dyDescent="0.25">
      <c r="B76" s="7"/>
      <c r="C76" s="7"/>
      <c r="D76" s="7"/>
      <c r="E76" s="7"/>
      <c r="F76" s="7"/>
    </row>
    <row r="77" spans="2:6" x14ac:dyDescent="0.25">
      <c r="B77" s="7"/>
      <c r="C77" s="7"/>
      <c r="D77" s="7"/>
      <c r="E77" s="7"/>
      <c r="F77" s="7"/>
    </row>
    <row r="78" spans="2:6" x14ac:dyDescent="0.25">
      <c r="B78" s="7"/>
      <c r="C78" s="7"/>
      <c r="D78" s="7"/>
      <c r="E78" s="7"/>
      <c r="F78" s="7"/>
    </row>
    <row r="79" spans="2:6" x14ac:dyDescent="0.25">
      <c r="B79" s="7"/>
      <c r="C79" s="7"/>
      <c r="D79" s="7"/>
      <c r="E79" s="7"/>
      <c r="F79" s="7"/>
    </row>
    <row r="80" spans="2:6" x14ac:dyDescent="0.25">
      <c r="B80" s="7"/>
      <c r="C80" s="7"/>
      <c r="D80" s="7"/>
      <c r="E80" s="7"/>
      <c r="F80" s="7"/>
    </row>
    <row r="81" spans="2:6" x14ac:dyDescent="0.25">
      <c r="B81" s="7"/>
      <c r="C81" s="7"/>
      <c r="D81" s="7"/>
      <c r="E81" s="7"/>
      <c r="F81" s="7"/>
    </row>
    <row r="82" spans="2:6" x14ac:dyDescent="0.25">
      <c r="B82" s="7"/>
      <c r="C82" s="7"/>
      <c r="D82" s="7"/>
      <c r="E82" s="7"/>
      <c r="F82" s="7"/>
    </row>
    <row r="83" spans="2:6" x14ac:dyDescent="0.25">
      <c r="B83" s="7"/>
      <c r="C83" s="7"/>
      <c r="D83" s="7"/>
      <c r="E83" s="7"/>
      <c r="F83" s="7"/>
    </row>
    <row r="84" spans="2:6" x14ac:dyDescent="0.25">
      <c r="B84" s="7"/>
      <c r="C84" s="7"/>
      <c r="D84" s="7"/>
      <c r="E84" s="7"/>
      <c r="F84" s="7"/>
    </row>
    <row r="85" spans="2:6" x14ac:dyDescent="0.25">
      <c r="B85" s="7"/>
      <c r="C85" s="7"/>
      <c r="D85" s="7"/>
      <c r="E85" s="7"/>
      <c r="F85" s="7"/>
    </row>
    <row r="86" spans="2:6" x14ac:dyDescent="0.25">
      <c r="B86" s="7"/>
      <c r="C86" s="7"/>
      <c r="D86" s="7"/>
      <c r="E86" s="7"/>
      <c r="F86" s="7"/>
    </row>
    <row r="87" spans="2:6" x14ac:dyDescent="0.25">
      <c r="B87" s="7"/>
      <c r="C87" s="7"/>
      <c r="D87" s="7"/>
      <c r="E87" s="7"/>
      <c r="F87" s="7"/>
    </row>
    <row r="88" spans="2:6" x14ac:dyDescent="0.25">
      <c r="B88" s="7"/>
      <c r="C88" s="7"/>
      <c r="D88" s="7"/>
      <c r="E88" s="7"/>
      <c r="F88" s="7"/>
    </row>
    <row r="89" spans="2:6" x14ac:dyDescent="0.25">
      <c r="B89" s="7"/>
      <c r="C89" s="7"/>
      <c r="D89" s="7"/>
      <c r="E89" s="7"/>
      <c r="F89" s="7"/>
    </row>
    <row r="90" spans="2:6" x14ac:dyDescent="0.25">
      <c r="B90" s="7"/>
      <c r="C90" s="7"/>
      <c r="D90" s="7"/>
      <c r="E90" s="7"/>
      <c r="F90" s="7"/>
    </row>
    <row r="91" spans="2:6" x14ac:dyDescent="0.25">
      <c r="B91" s="7"/>
      <c r="C91" s="7"/>
      <c r="D91" s="7"/>
      <c r="E91" s="7"/>
      <c r="F91" s="7"/>
    </row>
    <row r="92" spans="2:6" x14ac:dyDescent="0.25">
      <c r="B92" s="7"/>
      <c r="C92" s="7"/>
      <c r="D92" s="7"/>
      <c r="E92" s="7"/>
      <c r="F92" s="7"/>
    </row>
    <row r="93" spans="2:6" x14ac:dyDescent="0.25">
      <c r="B93" s="7"/>
      <c r="C93" s="7"/>
      <c r="D93" s="7"/>
      <c r="E93" s="7"/>
      <c r="F93" s="7"/>
    </row>
    <row r="94" spans="2:6" x14ac:dyDescent="0.25">
      <c r="B94" s="7"/>
      <c r="C94" s="7"/>
      <c r="D94" s="7"/>
      <c r="E94" s="7"/>
      <c r="F94" s="7"/>
    </row>
    <row r="95" spans="2:6" x14ac:dyDescent="0.25">
      <c r="B95" s="7"/>
      <c r="C95" s="7"/>
      <c r="D95" s="7"/>
      <c r="E95" s="7"/>
      <c r="F95" s="7"/>
    </row>
    <row r="96" spans="2:6" x14ac:dyDescent="0.25">
      <c r="B96" s="7"/>
      <c r="C96" s="7"/>
      <c r="D96" s="7"/>
      <c r="E96" s="7"/>
      <c r="F96" s="7"/>
    </row>
    <row r="97" spans="2:6" x14ac:dyDescent="0.25">
      <c r="B97" s="7"/>
      <c r="C97" s="7"/>
      <c r="D97" s="7"/>
      <c r="E97" s="7"/>
      <c r="F97" s="7"/>
    </row>
    <row r="98" spans="2:6" x14ac:dyDescent="0.25">
      <c r="B98" s="7"/>
      <c r="C98" s="7"/>
      <c r="D98" s="7"/>
      <c r="E98" s="7"/>
      <c r="F98" s="7"/>
    </row>
    <row r="99" spans="2:6" x14ac:dyDescent="0.25">
      <c r="B99" s="7"/>
      <c r="C99" s="7"/>
      <c r="D99" s="7"/>
      <c r="E99" s="7"/>
      <c r="F99" s="7"/>
    </row>
    <row r="100" spans="2:6" x14ac:dyDescent="0.25">
      <c r="B100" s="7"/>
      <c r="C100" s="7"/>
      <c r="D100" s="7"/>
      <c r="E100" s="7"/>
      <c r="F100" s="7"/>
    </row>
    <row r="101" spans="2:6" x14ac:dyDescent="0.25">
      <c r="B101" s="7"/>
      <c r="C101" s="7"/>
      <c r="D101" s="7"/>
      <c r="E101" s="7"/>
      <c r="F101" s="7"/>
    </row>
    <row r="102" spans="2:6" x14ac:dyDescent="0.25">
      <c r="B102" s="7"/>
      <c r="C102" s="7"/>
      <c r="D102" s="7"/>
      <c r="E102" s="7"/>
      <c r="F102" s="7"/>
    </row>
    <row r="103" spans="2:6" x14ac:dyDescent="0.25">
      <c r="B103" s="7"/>
      <c r="C103" s="7"/>
      <c r="D103" s="7"/>
      <c r="E103" s="7"/>
      <c r="F103" s="7"/>
    </row>
    <row r="104" spans="2:6" x14ac:dyDescent="0.25">
      <c r="B104" s="7"/>
      <c r="C104" s="7"/>
      <c r="D104" s="7"/>
      <c r="E104" s="7"/>
      <c r="F104" s="7"/>
    </row>
    <row r="105" spans="2:6" x14ac:dyDescent="0.25">
      <c r="B105" s="7"/>
      <c r="C105" s="7"/>
      <c r="D105" s="7"/>
      <c r="E105" s="7"/>
      <c r="F105" s="7"/>
    </row>
    <row r="106" spans="2:6" x14ac:dyDescent="0.25">
      <c r="B106" s="7"/>
      <c r="C106" s="7"/>
      <c r="D106" s="7"/>
      <c r="E106" s="7"/>
      <c r="F106" s="7"/>
    </row>
    <row r="107" spans="2:6" x14ac:dyDescent="0.25">
      <c r="B107" s="7"/>
      <c r="C107" s="7"/>
      <c r="D107" s="7"/>
      <c r="E107" s="7"/>
      <c r="F107" s="7"/>
    </row>
    <row r="108" spans="2:6" x14ac:dyDescent="0.25">
      <c r="B108" s="7"/>
      <c r="C108" s="7"/>
      <c r="D108" s="7"/>
      <c r="E108" s="7"/>
      <c r="F108" s="7"/>
    </row>
    <row r="109" spans="2:6" x14ac:dyDescent="0.25">
      <c r="B109" s="7"/>
      <c r="C109" s="7"/>
      <c r="D109" s="7"/>
      <c r="E109" s="7"/>
      <c r="F109" s="7"/>
    </row>
    <row r="110" spans="2:6" x14ac:dyDescent="0.25">
      <c r="B110" s="7"/>
      <c r="C110" s="7"/>
      <c r="D110" s="7"/>
      <c r="E110" s="7"/>
      <c r="F110" s="7"/>
    </row>
    <row r="111" spans="2:6" x14ac:dyDescent="0.25">
      <c r="B111" s="7"/>
      <c r="C111" s="7"/>
      <c r="D111" s="7"/>
      <c r="E111" s="7"/>
      <c r="F111" s="7"/>
    </row>
    <row r="112" spans="2:6" x14ac:dyDescent="0.25">
      <c r="B112" s="7"/>
      <c r="C112" s="7"/>
      <c r="D112" s="7"/>
      <c r="E112" s="7"/>
      <c r="F112" s="7"/>
    </row>
    <row r="113" spans="2:6" x14ac:dyDescent="0.25">
      <c r="B113" s="7"/>
      <c r="C113" s="7"/>
      <c r="D113" s="7"/>
      <c r="E113" s="7"/>
      <c r="F113" s="7"/>
    </row>
    <row r="114" spans="2:6" x14ac:dyDescent="0.25">
      <c r="B114" s="7"/>
      <c r="C114" s="7"/>
      <c r="D114" s="7"/>
      <c r="E114" s="7"/>
      <c r="F114" s="7"/>
    </row>
    <row r="115" spans="2:6" x14ac:dyDescent="0.25">
      <c r="B115" s="7"/>
      <c r="C115" s="7"/>
      <c r="D115" s="7"/>
      <c r="E115" s="7"/>
      <c r="F115" s="7"/>
    </row>
    <row r="116" spans="2:6" x14ac:dyDescent="0.25">
      <c r="B116" s="7"/>
      <c r="C116" s="7"/>
      <c r="D116" s="7"/>
      <c r="E116" s="7"/>
      <c r="F116" s="7"/>
    </row>
    <row r="117" spans="2:6" x14ac:dyDescent="0.25">
      <c r="B117" s="7"/>
      <c r="C117" s="7"/>
      <c r="D117" s="7"/>
      <c r="E117" s="7"/>
      <c r="F117" s="7"/>
    </row>
    <row r="118" spans="2:6" x14ac:dyDescent="0.25">
      <c r="B118" s="7"/>
      <c r="C118" s="7"/>
      <c r="D118" s="7"/>
      <c r="E118" s="7"/>
      <c r="F118" s="7"/>
    </row>
    <row r="119" spans="2:6" x14ac:dyDescent="0.25">
      <c r="B119" s="7"/>
      <c r="C119" s="7"/>
      <c r="D119" s="7"/>
      <c r="E119" s="7"/>
      <c r="F119" s="7"/>
    </row>
    <row r="120" spans="2:6" x14ac:dyDescent="0.25">
      <c r="B120" s="7"/>
      <c r="C120" s="7"/>
      <c r="D120" s="7"/>
      <c r="E120" s="7"/>
      <c r="F120" s="7"/>
    </row>
  </sheetData>
  <pageMargins left="0.7" right="0.7" top="0.75" bottom="0.75" header="0.3" footer="0.3"/>
  <pageSetup paperSize="9" orientation="portrait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5"/>
  <sheetViews>
    <sheetView topLeftCell="A8" workbookViewId="0">
      <selection activeCell="O8" sqref="O8"/>
    </sheetView>
  </sheetViews>
  <sheetFormatPr defaultRowHeight="15" x14ac:dyDescent="0.25"/>
  <sheetData>
    <row r="1" spans="1:1" x14ac:dyDescent="0.25">
      <c r="A1" t="s">
        <v>321</v>
      </c>
    </row>
    <row r="3" spans="1:1" x14ac:dyDescent="0.25">
      <c r="A3" t="s">
        <v>363</v>
      </c>
    </row>
    <row r="5" spans="1:1" x14ac:dyDescent="0.25">
      <c r="A5" t="s">
        <v>364</v>
      </c>
    </row>
    <row r="7" spans="1:1" x14ac:dyDescent="0.25">
      <c r="A7" t="s">
        <v>365</v>
      </c>
    </row>
    <row r="9" spans="1:1" x14ac:dyDescent="0.25">
      <c r="A9" t="s">
        <v>366</v>
      </c>
    </row>
    <row r="11" spans="1:1" x14ac:dyDescent="0.25">
      <c r="A11" t="s">
        <v>367</v>
      </c>
    </row>
    <row r="13" spans="1:1" x14ac:dyDescent="0.25">
      <c r="A13" t="s">
        <v>368</v>
      </c>
    </row>
    <row r="15" spans="1:1" x14ac:dyDescent="0.25">
      <c r="A15" t="s">
        <v>369</v>
      </c>
    </row>
    <row r="17" spans="1:1" x14ac:dyDescent="0.25">
      <c r="A17" t="s">
        <v>370</v>
      </c>
    </row>
    <row r="19" spans="1:1" x14ac:dyDescent="0.25">
      <c r="A19" t="s">
        <v>371</v>
      </c>
    </row>
    <row r="21" spans="1:1" x14ac:dyDescent="0.25">
      <c r="A21" t="s">
        <v>372</v>
      </c>
    </row>
    <row r="23" spans="1:1" x14ac:dyDescent="0.25">
      <c r="A23" t="s">
        <v>373</v>
      </c>
    </row>
    <row r="25" spans="1:1" x14ac:dyDescent="0.25">
      <c r="A25" t="s">
        <v>374</v>
      </c>
    </row>
    <row r="27" spans="1:1" x14ac:dyDescent="0.25">
      <c r="A27" t="s">
        <v>375</v>
      </c>
    </row>
    <row r="29" spans="1:1" x14ac:dyDescent="0.25">
      <c r="A29" t="s">
        <v>376</v>
      </c>
    </row>
    <row r="31" spans="1:1" x14ac:dyDescent="0.25">
      <c r="A31" t="s">
        <v>377</v>
      </c>
    </row>
    <row r="33" spans="1:1" x14ac:dyDescent="0.25">
      <c r="A33" t="s">
        <v>378</v>
      </c>
    </row>
    <row r="35" spans="1:1" x14ac:dyDescent="0.25">
      <c r="A35" t="s">
        <v>379</v>
      </c>
    </row>
    <row r="37" spans="1:1" x14ac:dyDescent="0.25">
      <c r="A37" t="s">
        <v>380</v>
      </c>
    </row>
    <row r="39" spans="1:1" x14ac:dyDescent="0.25">
      <c r="A39" t="s">
        <v>381</v>
      </c>
    </row>
    <row r="41" spans="1:1" x14ac:dyDescent="0.25">
      <c r="A41" t="s">
        <v>382</v>
      </c>
    </row>
    <row r="43" spans="1:1" x14ac:dyDescent="0.25">
      <c r="A43" t="s">
        <v>383</v>
      </c>
    </row>
    <row r="45" spans="1:1" x14ac:dyDescent="0.25">
      <c r="A45" t="s">
        <v>384</v>
      </c>
    </row>
    <row r="47" spans="1:1" x14ac:dyDescent="0.25">
      <c r="A47" t="s">
        <v>385</v>
      </c>
    </row>
    <row r="49" spans="1:1" x14ac:dyDescent="0.25">
      <c r="A49" t="s">
        <v>386</v>
      </c>
    </row>
    <row r="51" spans="1:1" x14ac:dyDescent="0.25">
      <c r="A51" t="s">
        <v>387</v>
      </c>
    </row>
    <row r="53" spans="1:1" x14ac:dyDescent="0.25">
      <c r="A53" t="s">
        <v>388</v>
      </c>
    </row>
    <row r="55" spans="1:1" x14ac:dyDescent="0.25">
      <c r="A55" t="s">
        <v>389</v>
      </c>
    </row>
    <row r="57" spans="1:1" x14ac:dyDescent="0.25">
      <c r="A57" t="s">
        <v>390</v>
      </c>
    </row>
    <row r="59" spans="1:1" x14ac:dyDescent="0.25">
      <c r="A59" t="s">
        <v>391</v>
      </c>
    </row>
    <row r="61" spans="1:1" x14ac:dyDescent="0.25">
      <c r="A61" t="s">
        <v>392</v>
      </c>
    </row>
    <row r="63" spans="1:1" x14ac:dyDescent="0.25">
      <c r="A63" t="s">
        <v>393</v>
      </c>
    </row>
    <row r="65" spans="1:1" x14ac:dyDescent="0.25">
      <c r="A65" t="s">
        <v>394</v>
      </c>
    </row>
    <row r="67" spans="1:1" x14ac:dyDescent="0.25">
      <c r="A67" t="s">
        <v>395</v>
      </c>
    </row>
    <row r="69" spans="1:1" x14ac:dyDescent="0.25">
      <c r="A69" t="s">
        <v>396</v>
      </c>
    </row>
    <row r="71" spans="1:1" x14ac:dyDescent="0.25">
      <c r="A71" t="s">
        <v>397</v>
      </c>
    </row>
    <row r="73" spans="1:1" x14ac:dyDescent="0.25">
      <c r="A73" t="s">
        <v>398</v>
      </c>
    </row>
    <row r="75" spans="1:1" x14ac:dyDescent="0.25">
      <c r="A75" t="s">
        <v>399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workbookViewId="0">
      <selection activeCell="E11" sqref="E11"/>
    </sheetView>
  </sheetViews>
  <sheetFormatPr defaultColWidth="18" defaultRowHeight="15" x14ac:dyDescent="0.25"/>
  <cols>
    <col min="9" max="9" width="18" style="4"/>
    <col min="10" max="10" width="18" style="7"/>
  </cols>
  <sheetData>
    <row r="1" spans="1:10" x14ac:dyDescent="0.25">
      <c r="A1" s="12" t="s">
        <v>341</v>
      </c>
      <c r="B1" t="s">
        <v>344</v>
      </c>
      <c r="C1" t="s">
        <v>343</v>
      </c>
      <c r="I1" s="6" t="s">
        <v>322</v>
      </c>
      <c r="J1" s="6" t="s">
        <v>337</v>
      </c>
    </row>
    <row r="2" spans="1:10" x14ac:dyDescent="0.25">
      <c r="A2" s="13" t="s">
        <v>24</v>
      </c>
      <c r="B2" s="14">
        <v>17500</v>
      </c>
      <c r="C2" s="14">
        <v>483000</v>
      </c>
      <c r="I2" s="7">
        <v>0.1</v>
      </c>
      <c r="J2" s="7">
        <v>12.615384615384615</v>
      </c>
    </row>
    <row r="3" spans="1:10" x14ac:dyDescent="0.25">
      <c r="A3" s="13" t="s">
        <v>55</v>
      </c>
      <c r="B3" s="14">
        <v>17100</v>
      </c>
      <c r="C3" s="14">
        <v>520000</v>
      </c>
      <c r="I3" s="7">
        <v>0.2</v>
      </c>
      <c r="J3" s="7">
        <v>-8.3333333333333339</v>
      </c>
    </row>
    <row r="4" spans="1:10" x14ac:dyDescent="0.25">
      <c r="A4" s="13" t="s">
        <v>69</v>
      </c>
      <c r="B4" s="14">
        <v>4150</v>
      </c>
      <c r="C4" s="14">
        <v>51100</v>
      </c>
      <c r="I4" s="7">
        <v>0</v>
      </c>
      <c r="J4" s="7">
        <v>2.9166666666666665</v>
      </c>
    </row>
    <row r="5" spans="1:10" x14ac:dyDescent="0.25">
      <c r="A5" s="13" t="s">
        <v>45</v>
      </c>
      <c r="B5" s="14">
        <v>720</v>
      </c>
      <c r="C5" s="14">
        <v>2060</v>
      </c>
      <c r="I5" s="7">
        <v>0.05</v>
      </c>
      <c r="J5" s="7">
        <v>13.333333333333334</v>
      </c>
    </row>
    <row r="6" spans="1:10" x14ac:dyDescent="0.25">
      <c r="A6" s="13" t="s">
        <v>76</v>
      </c>
      <c r="B6" s="14">
        <v>270</v>
      </c>
      <c r="C6" s="14">
        <v>4430</v>
      </c>
      <c r="I6" s="7">
        <v>0.25</v>
      </c>
      <c r="J6" s="7">
        <v>-8.1818181818181817</v>
      </c>
    </row>
    <row r="7" spans="1:10" x14ac:dyDescent="0.25">
      <c r="A7" s="13" t="s">
        <v>345</v>
      </c>
      <c r="B7" s="14"/>
      <c r="C7" s="14"/>
      <c r="I7" s="7">
        <v>0</v>
      </c>
      <c r="J7" s="7">
        <v>5</v>
      </c>
    </row>
    <row r="8" spans="1:10" x14ac:dyDescent="0.25">
      <c r="A8" s="13" t="s">
        <v>84</v>
      </c>
      <c r="B8" s="14">
        <v>-750</v>
      </c>
      <c r="C8" s="14">
        <v>13500</v>
      </c>
      <c r="I8" s="7">
        <v>0.1</v>
      </c>
      <c r="J8" s="7">
        <v>9</v>
      </c>
    </row>
    <row r="9" spans="1:10" x14ac:dyDescent="0.25">
      <c r="A9" s="13" t="s">
        <v>63</v>
      </c>
      <c r="B9" s="14">
        <v>-6000</v>
      </c>
      <c r="C9" s="14">
        <v>105000</v>
      </c>
      <c r="I9" s="7">
        <v>0.15</v>
      </c>
      <c r="J9" s="7">
        <v>-8</v>
      </c>
    </row>
    <row r="10" spans="1:10" x14ac:dyDescent="0.25">
      <c r="A10" s="13" t="s">
        <v>34</v>
      </c>
      <c r="B10" s="14">
        <v>-7050</v>
      </c>
      <c r="C10" s="14">
        <v>53700</v>
      </c>
      <c r="I10" s="7">
        <v>0.2</v>
      </c>
      <c r="J10" s="7">
        <v>-24</v>
      </c>
    </row>
    <row r="11" spans="1:10" x14ac:dyDescent="0.25">
      <c r="A11" s="13" t="s">
        <v>342</v>
      </c>
      <c r="B11" s="14">
        <v>25940</v>
      </c>
      <c r="C11" s="14">
        <v>1232790</v>
      </c>
      <c r="I11" s="7">
        <v>0</v>
      </c>
      <c r="J11" s="7">
        <v>3.75</v>
      </c>
    </row>
    <row r="12" spans="1:10" x14ac:dyDescent="0.25">
      <c r="I12" s="7">
        <v>0.1</v>
      </c>
      <c r="J12" s="7">
        <v>14.857142857142858</v>
      </c>
    </row>
    <row r="13" spans="1:10" x14ac:dyDescent="0.25">
      <c r="I13" s="7">
        <v>0.2</v>
      </c>
      <c r="J13" s="7">
        <v>-6</v>
      </c>
    </row>
    <row r="14" spans="1:10" x14ac:dyDescent="0.25">
      <c r="I14" s="7">
        <v>0.15</v>
      </c>
      <c r="J14" s="7">
        <v>12.4</v>
      </c>
    </row>
    <row r="15" spans="1:10" x14ac:dyDescent="0.25">
      <c r="I15" s="7">
        <v>0.3</v>
      </c>
      <c r="J15" s="7">
        <v>-5.5</v>
      </c>
    </row>
    <row r="16" spans="1:10" x14ac:dyDescent="0.25">
      <c r="I16" s="7">
        <v>0</v>
      </c>
      <c r="J16" s="7">
        <v>2.625</v>
      </c>
    </row>
    <row r="17" spans="9:10" x14ac:dyDescent="0.25">
      <c r="I17" s="7">
        <v>0.05</v>
      </c>
      <c r="J17" s="7">
        <v>15.6</v>
      </c>
    </row>
    <row r="18" spans="9:10" x14ac:dyDescent="0.25">
      <c r="I18" s="7">
        <v>0.2</v>
      </c>
      <c r="J18" s="7">
        <v>12.5</v>
      </c>
    </row>
    <row r="19" spans="9:10" x14ac:dyDescent="0.25">
      <c r="I19" s="7">
        <v>0.1</v>
      </c>
      <c r="J19" s="7">
        <v>18</v>
      </c>
    </row>
    <row r="20" spans="9:10" x14ac:dyDescent="0.25">
      <c r="I20" s="7">
        <v>0.25</v>
      </c>
      <c r="J20" s="7">
        <v>-11.6</v>
      </c>
    </row>
    <row r="21" spans="9:10" x14ac:dyDescent="0.25">
      <c r="I21" s="7">
        <v>0</v>
      </c>
      <c r="J21" s="7">
        <v>5.666666666666667</v>
      </c>
    </row>
    <row r="22" spans="9:10" x14ac:dyDescent="0.25">
      <c r="I22" s="7">
        <v>0.1</v>
      </c>
      <c r="J22" s="7">
        <v>13.125</v>
      </c>
    </row>
    <row r="23" spans="9:10" x14ac:dyDescent="0.25">
      <c r="I23" s="7">
        <v>0.2</v>
      </c>
      <c r="J23" s="7">
        <v>-5.5</v>
      </c>
    </row>
    <row r="24" spans="9:10" x14ac:dyDescent="0.25">
      <c r="I24" s="7">
        <v>0.15</v>
      </c>
      <c r="J24" s="7">
        <v>18</v>
      </c>
    </row>
    <row r="25" spans="9:10" x14ac:dyDescent="0.25">
      <c r="I25" s="7">
        <v>0</v>
      </c>
      <c r="J25" s="7">
        <v>2.3333333333333335</v>
      </c>
    </row>
    <row r="26" spans="9:10" x14ac:dyDescent="0.25">
      <c r="I26" s="7">
        <v>0.1</v>
      </c>
      <c r="J26" s="7">
        <v>17.777777777777779</v>
      </c>
    </row>
    <row r="27" spans="9:10" x14ac:dyDescent="0.25">
      <c r="I27" s="7">
        <v>0.3</v>
      </c>
      <c r="J27" s="7">
        <v>-8</v>
      </c>
    </row>
    <row r="28" spans="9:10" x14ac:dyDescent="0.25">
      <c r="I28" s="7">
        <v>0.2</v>
      </c>
      <c r="J28" s="7">
        <v>-8.5</v>
      </c>
    </row>
    <row r="29" spans="9:10" x14ac:dyDescent="0.25">
      <c r="I29" s="7">
        <v>0.1</v>
      </c>
      <c r="J29" s="7">
        <v>15.6</v>
      </c>
    </row>
    <row r="30" spans="9:10" x14ac:dyDescent="0.25">
      <c r="I30" s="7">
        <v>0.05</v>
      </c>
      <c r="J30" s="7">
        <v>14</v>
      </c>
    </row>
    <row r="31" spans="9:10" x14ac:dyDescent="0.25">
      <c r="I31" s="7">
        <v>0.2</v>
      </c>
      <c r="J31" s="7">
        <v>-20.5</v>
      </c>
    </row>
    <row r="32" spans="9:10" x14ac:dyDescent="0.25">
      <c r="I32" s="7">
        <v>0</v>
      </c>
      <c r="J32" s="7">
        <v>2.1428571428571428</v>
      </c>
    </row>
    <row r="33" spans="9:10" x14ac:dyDescent="0.25">
      <c r="I33" s="7">
        <v>0.15</v>
      </c>
      <c r="J33" s="7">
        <v>-14.666666666666666</v>
      </c>
    </row>
    <row r="34" spans="9:10" x14ac:dyDescent="0.25">
      <c r="I34" s="7">
        <v>0.1</v>
      </c>
      <c r="J34" s="7">
        <v>16</v>
      </c>
    </row>
    <row r="35" spans="9:10" x14ac:dyDescent="0.25">
      <c r="I35" s="7">
        <v>0.2</v>
      </c>
      <c r="J35" s="7">
        <v>-8.6666666666666661</v>
      </c>
    </row>
    <row r="36" spans="9:10" x14ac:dyDescent="0.25">
      <c r="I36" s="7">
        <v>0.2</v>
      </c>
      <c r="J36" s="7">
        <v>-26</v>
      </c>
    </row>
    <row r="37" spans="9:10" x14ac:dyDescent="0.25">
      <c r="I37" s="7">
        <v>0.15</v>
      </c>
      <c r="J37" s="7">
        <v>-29</v>
      </c>
    </row>
    <row r="38" spans="9:10" x14ac:dyDescent="0.25">
      <c r="I38" s="7">
        <v>0.1</v>
      </c>
      <c r="J38" s="7">
        <v>20</v>
      </c>
    </row>
    <row r="39" spans="9:10" x14ac:dyDescent="0.25">
      <c r="I39" s="7">
        <v>0.1</v>
      </c>
      <c r="J39" s="7">
        <v>14.444444444444445</v>
      </c>
    </row>
    <row r="40" spans="9:10" x14ac:dyDescent="0.25">
      <c r="I40" s="7">
        <v>0</v>
      </c>
      <c r="J40" s="7">
        <v>3.875</v>
      </c>
    </row>
    <row r="41" spans="9:10" x14ac:dyDescent="0.25">
      <c r="I41" s="7">
        <v>0.15</v>
      </c>
      <c r="J41" s="7">
        <v>-14</v>
      </c>
    </row>
    <row r="42" spans="9:10" x14ac:dyDescent="0.25">
      <c r="I42" s="7">
        <v>0.1</v>
      </c>
      <c r="J42" s="7">
        <v>11.666666666666666</v>
      </c>
    </row>
    <row r="43" spans="9:10" x14ac:dyDescent="0.25">
      <c r="I43" s="7">
        <v>0.2</v>
      </c>
      <c r="J43" s="7">
        <v>-11.6</v>
      </c>
    </row>
    <row r="44" spans="9:10" x14ac:dyDescent="0.25">
      <c r="I44" s="7">
        <v>0.05</v>
      </c>
      <c r="J44" s="7">
        <v>12.631578947368421</v>
      </c>
    </row>
    <row r="45" spans="9:10" x14ac:dyDescent="0.25">
      <c r="I45" s="7">
        <v>0.1</v>
      </c>
      <c r="J45" s="7">
        <v>30</v>
      </c>
    </row>
    <row r="46" spans="9:10" x14ac:dyDescent="0.25">
      <c r="I46" s="7">
        <v>0.25</v>
      </c>
      <c r="J46" s="7">
        <v>-8.2608695652173907</v>
      </c>
    </row>
    <row r="47" spans="9:10" x14ac:dyDescent="0.25">
      <c r="I47" s="7">
        <v>0.1</v>
      </c>
      <c r="J47" s="7">
        <v>18.75</v>
      </c>
    </row>
    <row r="48" spans="9:10" x14ac:dyDescent="0.25">
      <c r="I48" s="7">
        <v>0</v>
      </c>
      <c r="J48" s="7">
        <v>4.166666666666667</v>
      </c>
    </row>
    <row r="49" spans="9:10" x14ac:dyDescent="0.25">
      <c r="I49" s="7">
        <v>0.1</v>
      </c>
      <c r="J49" s="7">
        <v>-35</v>
      </c>
    </row>
    <row r="50" spans="9:10" x14ac:dyDescent="0.25">
      <c r="I50" s="7">
        <v>0.15</v>
      </c>
      <c r="J50" s="7">
        <v>19.2</v>
      </c>
    </row>
    <row r="51" spans="9:10" x14ac:dyDescent="0.25">
      <c r="I51" s="7">
        <v>0.2</v>
      </c>
      <c r="J51" s="7">
        <v>-30.666666666666668</v>
      </c>
    </row>
  </sheetData>
  <pageMargins left="0.7" right="0.7" top="0.75" bottom="0.75" header="0.3" footer="0.3"/>
  <pageSetup paperSize="9"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topLeftCell="B1" workbookViewId="0">
      <selection activeCell="G5" sqref="G5"/>
    </sheetView>
  </sheetViews>
  <sheetFormatPr defaultColWidth="15.85546875" defaultRowHeight="15" x14ac:dyDescent="0.25"/>
  <cols>
    <col min="1" max="1" width="15.85546875" style="4"/>
    <col min="10" max="10" width="15.85546875" style="16"/>
  </cols>
  <sheetData>
    <row r="1" spans="1:10" s="20" customFormat="1" x14ac:dyDescent="0.25">
      <c r="A1" s="18" t="s">
        <v>14</v>
      </c>
      <c r="B1" s="18" t="s">
        <v>351</v>
      </c>
      <c r="C1" s="18" t="s">
        <v>350</v>
      </c>
      <c r="D1" s="18" t="s">
        <v>352</v>
      </c>
      <c r="E1" s="18" t="s">
        <v>353</v>
      </c>
      <c r="F1" s="18" t="s">
        <v>354</v>
      </c>
      <c r="G1" s="18" t="s">
        <v>355</v>
      </c>
      <c r="H1" s="18" t="s">
        <v>16</v>
      </c>
      <c r="I1" s="19" t="s">
        <v>356</v>
      </c>
      <c r="J1" s="19" t="s">
        <v>1</v>
      </c>
    </row>
    <row r="2" spans="1:10" ht="30" x14ac:dyDescent="0.25">
      <c r="A2" s="22" t="s">
        <v>26</v>
      </c>
      <c r="B2" s="22">
        <v>116</v>
      </c>
      <c r="C2" s="22">
        <v>1</v>
      </c>
      <c r="D2" s="23">
        <v>82000</v>
      </c>
      <c r="E2" s="22">
        <v>1</v>
      </c>
      <c r="F2" s="22">
        <v>1</v>
      </c>
      <c r="G2" s="22">
        <v>5</v>
      </c>
      <c r="H2" s="22" t="s">
        <v>357</v>
      </c>
      <c r="I2" s="21">
        <v>45044</v>
      </c>
      <c r="J2" s="21">
        <v>44929</v>
      </c>
    </row>
    <row r="3" spans="1:10" x14ac:dyDescent="0.25">
      <c r="A3" s="22" t="s">
        <v>36</v>
      </c>
      <c r="B3" s="22">
        <v>114</v>
      </c>
      <c r="C3" s="22">
        <v>1</v>
      </c>
      <c r="D3" s="23">
        <v>12500</v>
      </c>
      <c r="E3" s="22">
        <v>1</v>
      </c>
      <c r="F3" s="22">
        <v>1</v>
      </c>
      <c r="G3" s="22">
        <v>3</v>
      </c>
      <c r="H3" s="22" t="s">
        <v>358</v>
      </c>
      <c r="I3" s="21">
        <v>45044</v>
      </c>
      <c r="J3" s="21">
        <v>44931</v>
      </c>
    </row>
    <row r="4" spans="1:10" x14ac:dyDescent="0.25">
      <c r="A4" s="22" t="s">
        <v>47</v>
      </c>
      <c r="B4" s="22">
        <v>109</v>
      </c>
      <c r="C4" s="22">
        <v>1</v>
      </c>
      <c r="D4" s="22">
        <v>350</v>
      </c>
      <c r="E4" s="22">
        <v>1</v>
      </c>
      <c r="F4" s="22">
        <v>1</v>
      </c>
      <c r="G4" s="22">
        <v>1</v>
      </c>
      <c r="H4" s="22" t="s">
        <v>358</v>
      </c>
      <c r="I4" s="21">
        <v>45044</v>
      </c>
      <c r="J4" s="21">
        <v>44936</v>
      </c>
    </row>
    <row r="5" spans="1:10" ht="30" x14ac:dyDescent="0.25">
      <c r="A5" s="22" t="s">
        <v>57</v>
      </c>
      <c r="B5" s="22">
        <v>107</v>
      </c>
      <c r="C5" s="22">
        <v>1</v>
      </c>
      <c r="D5" s="23">
        <v>120000</v>
      </c>
      <c r="E5" s="22">
        <v>1</v>
      </c>
      <c r="F5" s="22">
        <v>1</v>
      </c>
      <c r="G5" s="22">
        <v>5</v>
      </c>
      <c r="H5" s="22" t="s">
        <v>357</v>
      </c>
      <c r="I5" s="21">
        <v>45044</v>
      </c>
      <c r="J5" s="21">
        <v>44938</v>
      </c>
    </row>
    <row r="6" spans="1:10" ht="30" x14ac:dyDescent="0.25">
      <c r="A6" s="22" t="s">
        <v>65</v>
      </c>
      <c r="B6" s="22">
        <v>106</v>
      </c>
      <c r="C6" s="22">
        <v>1</v>
      </c>
      <c r="D6" s="23">
        <v>18000</v>
      </c>
      <c r="E6" s="22">
        <v>1</v>
      </c>
      <c r="F6" s="22">
        <v>1</v>
      </c>
      <c r="G6" s="22">
        <v>4</v>
      </c>
      <c r="H6" s="22" t="s">
        <v>357</v>
      </c>
      <c r="I6" s="21">
        <v>45044</v>
      </c>
      <c r="J6" s="21">
        <v>44939</v>
      </c>
    </row>
    <row r="7" spans="1:10" x14ac:dyDescent="0.25">
      <c r="A7" s="22" t="s">
        <v>71</v>
      </c>
      <c r="B7" s="22">
        <v>99</v>
      </c>
      <c r="C7" s="22">
        <v>1</v>
      </c>
      <c r="D7" s="23">
        <v>4500</v>
      </c>
      <c r="E7" s="22">
        <v>1</v>
      </c>
      <c r="F7" s="22">
        <v>1</v>
      </c>
      <c r="G7" s="22">
        <v>3</v>
      </c>
      <c r="H7" s="22" t="s">
        <v>358</v>
      </c>
      <c r="I7" s="21">
        <v>45044</v>
      </c>
      <c r="J7" s="21">
        <v>44946</v>
      </c>
    </row>
    <row r="8" spans="1:10" x14ac:dyDescent="0.25">
      <c r="A8" s="22" t="s">
        <v>78</v>
      </c>
      <c r="B8" s="22">
        <v>97</v>
      </c>
      <c r="C8" s="22">
        <v>1</v>
      </c>
      <c r="D8" s="22">
        <v>900</v>
      </c>
      <c r="E8" s="22">
        <v>1</v>
      </c>
      <c r="F8" s="22">
        <v>1</v>
      </c>
      <c r="G8" s="22">
        <v>2</v>
      </c>
      <c r="H8" s="22" t="s">
        <v>358</v>
      </c>
      <c r="I8" s="21">
        <v>45044</v>
      </c>
      <c r="J8" s="21">
        <v>44948</v>
      </c>
    </row>
    <row r="9" spans="1:10" x14ac:dyDescent="0.25">
      <c r="A9" s="22" t="s">
        <v>86</v>
      </c>
      <c r="B9" s="22">
        <v>94</v>
      </c>
      <c r="C9" s="22">
        <v>1</v>
      </c>
      <c r="D9" s="23">
        <v>3200</v>
      </c>
      <c r="E9" s="22">
        <v>1</v>
      </c>
      <c r="F9" s="22">
        <v>1</v>
      </c>
      <c r="G9" s="22">
        <v>2</v>
      </c>
      <c r="H9" s="22" t="s">
        <v>358</v>
      </c>
      <c r="I9" s="21">
        <v>45044</v>
      </c>
      <c r="J9" s="21">
        <v>44951</v>
      </c>
    </row>
    <row r="10" spans="1:10" ht="30" x14ac:dyDescent="0.25">
      <c r="A10" s="22" t="s">
        <v>92</v>
      </c>
      <c r="B10" s="22">
        <v>92</v>
      </c>
      <c r="C10" s="22">
        <v>1</v>
      </c>
      <c r="D10" s="23">
        <v>72000</v>
      </c>
      <c r="E10" s="22">
        <v>1</v>
      </c>
      <c r="F10" s="22">
        <v>1</v>
      </c>
      <c r="G10" s="22">
        <v>5</v>
      </c>
      <c r="H10" s="22" t="s">
        <v>357</v>
      </c>
      <c r="I10" s="21">
        <v>45044</v>
      </c>
      <c r="J10" s="21">
        <v>44953</v>
      </c>
    </row>
    <row r="11" spans="1:10" x14ac:dyDescent="0.25">
      <c r="A11" s="22" t="s">
        <v>98</v>
      </c>
      <c r="B11" s="22">
        <v>86</v>
      </c>
      <c r="C11" s="22">
        <v>1</v>
      </c>
      <c r="D11" s="22">
        <v>150</v>
      </c>
      <c r="E11" s="22">
        <v>1</v>
      </c>
      <c r="F11" s="22">
        <v>1</v>
      </c>
      <c r="G11" s="22">
        <v>1</v>
      </c>
      <c r="H11" s="22" t="s">
        <v>358</v>
      </c>
      <c r="I11" s="21">
        <v>45044</v>
      </c>
      <c r="J11" s="21">
        <v>44959</v>
      </c>
    </row>
    <row r="12" spans="1:10" ht="30" x14ac:dyDescent="0.25">
      <c r="A12" s="22" t="s">
        <v>103</v>
      </c>
      <c r="B12" s="22">
        <v>85</v>
      </c>
      <c r="C12" s="22">
        <v>1</v>
      </c>
      <c r="D12" s="23">
        <v>104000</v>
      </c>
      <c r="E12" s="22">
        <v>2</v>
      </c>
      <c r="F12" s="22">
        <v>2</v>
      </c>
      <c r="G12" s="22">
        <v>5</v>
      </c>
      <c r="H12" s="22" t="s">
        <v>357</v>
      </c>
      <c r="I12" s="21">
        <v>45044</v>
      </c>
      <c r="J12" s="21">
        <v>44960</v>
      </c>
    </row>
    <row r="13" spans="1:10" ht="30" x14ac:dyDescent="0.25">
      <c r="A13" s="22" t="s">
        <v>110</v>
      </c>
      <c r="B13" s="22">
        <v>83</v>
      </c>
      <c r="C13" s="22">
        <v>1</v>
      </c>
      <c r="D13" s="23">
        <v>15000</v>
      </c>
      <c r="E13" s="22">
        <v>2</v>
      </c>
      <c r="F13" s="22">
        <v>2</v>
      </c>
      <c r="G13" s="22">
        <v>3</v>
      </c>
      <c r="H13" s="22" t="s">
        <v>359</v>
      </c>
      <c r="I13" s="21">
        <v>45044</v>
      </c>
      <c r="J13" s="21">
        <v>44962</v>
      </c>
    </row>
    <row r="14" spans="1:10" ht="30" x14ac:dyDescent="0.25">
      <c r="A14" s="22" t="s">
        <v>116</v>
      </c>
      <c r="B14" s="22">
        <v>79</v>
      </c>
      <c r="C14" s="22">
        <v>1</v>
      </c>
      <c r="D14" s="23">
        <v>6200</v>
      </c>
      <c r="E14" s="22">
        <v>2</v>
      </c>
      <c r="F14" s="22">
        <v>2</v>
      </c>
      <c r="G14" s="22">
        <v>3</v>
      </c>
      <c r="H14" s="22" t="s">
        <v>359</v>
      </c>
      <c r="I14" s="21">
        <v>45044</v>
      </c>
      <c r="J14" s="21">
        <v>44966</v>
      </c>
    </row>
    <row r="15" spans="1:10" ht="30" x14ac:dyDescent="0.25">
      <c r="A15" s="22" t="s">
        <v>122</v>
      </c>
      <c r="B15" s="22">
        <v>77</v>
      </c>
      <c r="C15" s="22">
        <v>1</v>
      </c>
      <c r="D15" s="23">
        <v>22000</v>
      </c>
      <c r="E15" s="22">
        <v>2</v>
      </c>
      <c r="F15" s="22">
        <v>2</v>
      </c>
      <c r="G15" s="22">
        <v>4</v>
      </c>
      <c r="H15" s="22" t="s">
        <v>357</v>
      </c>
      <c r="I15" s="21">
        <v>45044</v>
      </c>
      <c r="J15" s="21">
        <v>44968</v>
      </c>
    </row>
    <row r="16" spans="1:10" x14ac:dyDescent="0.25">
      <c r="A16" s="22" t="s">
        <v>127</v>
      </c>
      <c r="B16" s="22">
        <v>73</v>
      </c>
      <c r="C16" s="22">
        <v>1</v>
      </c>
      <c r="D16" s="22">
        <v>420</v>
      </c>
      <c r="E16" s="22">
        <v>2</v>
      </c>
      <c r="F16" s="22">
        <v>2</v>
      </c>
      <c r="G16" s="22">
        <v>1</v>
      </c>
      <c r="H16" s="22" t="s">
        <v>358</v>
      </c>
      <c r="I16" s="21">
        <v>45044</v>
      </c>
      <c r="J16" s="21">
        <v>44972</v>
      </c>
    </row>
    <row r="17" spans="1:10" ht="30" x14ac:dyDescent="0.25">
      <c r="A17" s="22" t="s">
        <v>133</v>
      </c>
      <c r="B17" s="22">
        <v>70</v>
      </c>
      <c r="C17" s="22">
        <v>1</v>
      </c>
      <c r="D17" s="23">
        <v>78000</v>
      </c>
      <c r="E17" s="22">
        <v>2</v>
      </c>
      <c r="F17" s="22">
        <v>2</v>
      </c>
      <c r="G17" s="22">
        <v>5</v>
      </c>
      <c r="H17" s="22" t="s">
        <v>357</v>
      </c>
      <c r="I17" s="21">
        <v>45044</v>
      </c>
      <c r="J17" s="21">
        <v>44975</v>
      </c>
    </row>
    <row r="18" spans="1:10" x14ac:dyDescent="0.25">
      <c r="A18" s="22" t="s">
        <v>139</v>
      </c>
      <c r="B18" s="22">
        <v>68</v>
      </c>
      <c r="C18" s="22">
        <v>1</v>
      </c>
      <c r="D18" s="23">
        <v>2500</v>
      </c>
      <c r="E18" s="22">
        <v>2</v>
      </c>
      <c r="F18" s="22">
        <v>2</v>
      </c>
      <c r="G18" s="22">
        <v>2</v>
      </c>
      <c r="H18" s="22" t="s">
        <v>358</v>
      </c>
      <c r="I18" s="21">
        <v>45044</v>
      </c>
      <c r="J18" s="21">
        <v>44977</v>
      </c>
    </row>
    <row r="19" spans="1:10" x14ac:dyDescent="0.25">
      <c r="A19" s="22" t="s">
        <v>143</v>
      </c>
      <c r="B19" s="22">
        <v>66</v>
      </c>
      <c r="C19" s="22">
        <v>1</v>
      </c>
      <c r="D19" s="23">
        <v>1800</v>
      </c>
      <c r="E19" s="22">
        <v>2</v>
      </c>
      <c r="F19" s="22">
        <v>2</v>
      </c>
      <c r="G19" s="22">
        <v>2</v>
      </c>
      <c r="H19" s="22" t="s">
        <v>358</v>
      </c>
      <c r="I19" s="21">
        <v>45044</v>
      </c>
      <c r="J19" s="21">
        <v>44979</v>
      </c>
    </row>
    <row r="20" spans="1:10" ht="30" x14ac:dyDescent="0.25">
      <c r="A20" s="22" t="s">
        <v>149</v>
      </c>
      <c r="B20" s="22">
        <v>64</v>
      </c>
      <c r="C20" s="22">
        <v>1</v>
      </c>
      <c r="D20" s="23">
        <v>58000</v>
      </c>
      <c r="E20" s="22">
        <v>2</v>
      </c>
      <c r="F20" s="22">
        <v>2</v>
      </c>
      <c r="G20" s="22">
        <v>4</v>
      </c>
      <c r="H20" s="22" t="s">
        <v>357</v>
      </c>
      <c r="I20" s="21">
        <v>45044</v>
      </c>
      <c r="J20" s="21">
        <v>44981</v>
      </c>
    </row>
    <row r="21" spans="1:10" x14ac:dyDescent="0.25">
      <c r="A21" s="22" t="s">
        <v>154</v>
      </c>
      <c r="B21" s="22">
        <v>62</v>
      </c>
      <c r="C21" s="22">
        <v>1</v>
      </c>
      <c r="D21" s="22">
        <v>850</v>
      </c>
      <c r="E21" s="22">
        <v>2</v>
      </c>
      <c r="F21" s="22">
        <v>2</v>
      </c>
      <c r="G21" s="22">
        <v>1</v>
      </c>
      <c r="H21" s="22" t="s">
        <v>358</v>
      </c>
      <c r="I21" s="21">
        <v>45044</v>
      </c>
      <c r="J21" s="21">
        <v>44983</v>
      </c>
    </row>
    <row r="22" spans="1:10" x14ac:dyDescent="0.25">
      <c r="A22" s="22" t="s">
        <v>160</v>
      </c>
      <c r="B22" s="22">
        <v>57</v>
      </c>
      <c r="C22" s="22">
        <v>1</v>
      </c>
      <c r="D22" s="23">
        <v>105000</v>
      </c>
      <c r="E22" s="22">
        <v>3</v>
      </c>
      <c r="F22" s="22">
        <v>3</v>
      </c>
      <c r="G22" s="22">
        <v>5</v>
      </c>
      <c r="H22" s="22" t="s">
        <v>360</v>
      </c>
      <c r="I22" s="21">
        <v>45044</v>
      </c>
      <c r="J22" s="21">
        <v>44988</v>
      </c>
    </row>
    <row r="23" spans="1:10" ht="30" x14ac:dyDescent="0.25">
      <c r="A23" s="22" t="s">
        <v>166</v>
      </c>
      <c r="B23" s="22">
        <v>56</v>
      </c>
      <c r="C23" s="22">
        <v>1</v>
      </c>
      <c r="D23" s="23">
        <v>1100</v>
      </c>
      <c r="E23" s="22">
        <v>3</v>
      </c>
      <c r="F23" s="22">
        <v>3</v>
      </c>
      <c r="G23" s="22">
        <v>2</v>
      </c>
      <c r="H23" s="22" t="s">
        <v>359</v>
      </c>
      <c r="I23" s="21">
        <v>45044</v>
      </c>
      <c r="J23" s="21">
        <v>44989</v>
      </c>
    </row>
    <row r="24" spans="1:10" ht="30" x14ac:dyDescent="0.25">
      <c r="A24" s="22" t="s">
        <v>171</v>
      </c>
      <c r="B24" s="22">
        <v>55</v>
      </c>
      <c r="C24" s="22">
        <v>1</v>
      </c>
      <c r="D24" s="23">
        <v>5400</v>
      </c>
      <c r="E24" s="22">
        <v>3</v>
      </c>
      <c r="F24" s="22">
        <v>3</v>
      </c>
      <c r="G24" s="22">
        <v>3</v>
      </c>
      <c r="H24" s="22" t="s">
        <v>359</v>
      </c>
      <c r="I24" s="21">
        <v>45044</v>
      </c>
      <c r="J24" s="21">
        <v>44990</v>
      </c>
    </row>
    <row r="25" spans="1:10" ht="30" x14ac:dyDescent="0.25">
      <c r="A25" s="22" t="s">
        <v>177</v>
      </c>
      <c r="B25" s="22">
        <v>53</v>
      </c>
      <c r="C25" s="22">
        <v>1</v>
      </c>
      <c r="D25" s="22">
        <v>280</v>
      </c>
      <c r="E25" s="22">
        <v>3</v>
      </c>
      <c r="F25" s="22">
        <v>3</v>
      </c>
      <c r="G25" s="22">
        <v>1</v>
      </c>
      <c r="H25" s="22" t="s">
        <v>359</v>
      </c>
      <c r="I25" s="21">
        <v>45044</v>
      </c>
      <c r="J25" s="21">
        <v>44992</v>
      </c>
    </row>
    <row r="26" spans="1:10" x14ac:dyDescent="0.25">
      <c r="A26" s="22" t="s">
        <v>183</v>
      </c>
      <c r="B26" s="22">
        <v>52</v>
      </c>
      <c r="C26" s="22">
        <v>1</v>
      </c>
      <c r="D26" s="23">
        <v>32000</v>
      </c>
      <c r="E26" s="22">
        <v>3</v>
      </c>
      <c r="F26" s="22">
        <v>3</v>
      </c>
      <c r="G26" s="22">
        <v>4</v>
      </c>
      <c r="H26" s="22" t="s">
        <v>360</v>
      </c>
      <c r="I26" s="21">
        <v>45044</v>
      </c>
      <c r="J26" s="21">
        <v>44993</v>
      </c>
    </row>
    <row r="27" spans="1:10" x14ac:dyDescent="0.25">
      <c r="A27" s="22" t="s">
        <v>187</v>
      </c>
      <c r="B27" s="22">
        <v>49</v>
      </c>
      <c r="C27" s="22">
        <v>1</v>
      </c>
      <c r="D27" s="23">
        <v>24000</v>
      </c>
      <c r="E27" s="22">
        <v>3</v>
      </c>
      <c r="F27" s="22">
        <v>3</v>
      </c>
      <c r="G27" s="22">
        <v>4</v>
      </c>
      <c r="H27" s="22" t="s">
        <v>360</v>
      </c>
      <c r="I27" s="21">
        <v>45044</v>
      </c>
      <c r="J27" s="21">
        <v>44996</v>
      </c>
    </row>
    <row r="28" spans="1:10" ht="30" x14ac:dyDescent="0.25">
      <c r="A28" s="22" t="s">
        <v>194</v>
      </c>
      <c r="B28" s="22">
        <v>46</v>
      </c>
      <c r="C28" s="22">
        <v>1</v>
      </c>
      <c r="D28" s="23">
        <v>17000</v>
      </c>
      <c r="E28" s="22">
        <v>3</v>
      </c>
      <c r="F28" s="22">
        <v>3</v>
      </c>
      <c r="G28" s="22">
        <v>3</v>
      </c>
      <c r="H28" s="22" t="s">
        <v>359</v>
      </c>
      <c r="I28" s="21">
        <v>45044</v>
      </c>
      <c r="J28" s="21">
        <v>44999</v>
      </c>
    </row>
    <row r="29" spans="1:10" ht="30" x14ac:dyDescent="0.25">
      <c r="A29" s="22" t="s">
        <v>199</v>
      </c>
      <c r="B29" s="22">
        <v>44</v>
      </c>
      <c r="C29" s="22">
        <v>1</v>
      </c>
      <c r="D29" s="22">
        <v>780</v>
      </c>
      <c r="E29" s="22">
        <v>3</v>
      </c>
      <c r="F29" s="22">
        <v>3</v>
      </c>
      <c r="G29" s="22">
        <v>1</v>
      </c>
      <c r="H29" s="22" t="s">
        <v>359</v>
      </c>
      <c r="I29" s="21">
        <v>45044</v>
      </c>
      <c r="J29" s="21">
        <v>45001</v>
      </c>
    </row>
    <row r="30" spans="1:10" x14ac:dyDescent="0.25">
      <c r="A30" s="22" t="s">
        <v>204</v>
      </c>
      <c r="B30" s="22">
        <v>42</v>
      </c>
      <c r="C30" s="22">
        <v>1</v>
      </c>
      <c r="D30" s="23">
        <v>21000</v>
      </c>
      <c r="E30" s="22">
        <v>3</v>
      </c>
      <c r="F30" s="22">
        <v>3</v>
      </c>
      <c r="G30" s="22">
        <v>4</v>
      </c>
      <c r="H30" s="22" t="s">
        <v>360</v>
      </c>
      <c r="I30" s="21">
        <v>45044</v>
      </c>
      <c r="J30" s="21">
        <v>45003</v>
      </c>
    </row>
    <row r="31" spans="1:10" x14ac:dyDescent="0.25">
      <c r="A31" s="22" t="s">
        <v>210</v>
      </c>
      <c r="B31" s="22">
        <v>40</v>
      </c>
      <c r="C31" s="22">
        <v>1</v>
      </c>
      <c r="D31" s="23">
        <v>41000</v>
      </c>
      <c r="E31" s="22">
        <v>3</v>
      </c>
      <c r="F31" s="22">
        <v>3</v>
      </c>
      <c r="G31" s="22">
        <v>4</v>
      </c>
      <c r="H31" s="22" t="s">
        <v>360</v>
      </c>
      <c r="I31" s="21">
        <v>45044</v>
      </c>
      <c r="J31" s="21">
        <v>45005</v>
      </c>
    </row>
    <row r="32" spans="1:10" x14ac:dyDescent="0.25">
      <c r="A32" s="22" t="s">
        <v>214</v>
      </c>
      <c r="B32" s="22">
        <v>38</v>
      </c>
      <c r="C32" s="22">
        <v>1</v>
      </c>
      <c r="D32" s="22">
        <v>300</v>
      </c>
      <c r="E32" s="22">
        <v>4</v>
      </c>
      <c r="F32" s="22">
        <v>4</v>
      </c>
      <c r="G32" s="22">
        <v>1</v>
      </c>
      <c r="H32" s="22" t="s">
        <v>361</v>
      </c>
      <c r="I32" s="21">
        <v>45044</v>
      </c>
      <c r="J32" s="21">
        <v>45007</v>
      </c>
    </row>
    <row r="33" spans="1:10" x14ac:dyDescent="0.25">
      <c r="A33" s="22" t="s">
        <v>220</v>
      </c>
      <c r="B33" s="22">
        <v>35</v>
      </c>
      <c r="C33" s="22">
        <v>1</v>
      </c>
      <c r="D33" s="23">
        <v>2200</v>
      </c>
      <c r="E33" s="22">
        <v>4</v>
      </c>
      <c r="F33" s="22">
        <v>4</v>
      </c>
      <c r="G33" s="22">
        <v>2</v>
      </c>
      <c r="H33" s="22" t="s">
        <v>361</v>
      </c>
      <c r="I33" s="21">
        <v>45044</v>
      </c>
      <c r="J33" s="21">
        <v>45010</v>
      </c>
    </row>
    <row r="34" spans="1:10" x14ac:dyDescent="0.25">
      <c r="A34" s="22" t="s">
        <v>225</v>
      </c>
      <c r="B34" s="22">
        <v>33</v>
      </c>
      <c r="C34" s="22">
        <v>1</v>
      </c>
      <c r="D34" s="23">
        <v>3200</v>
      </c>
      <c r="E34" s="22">
        <v>4</v>
      </c>
      <c r="F34" s="22">
        <v>4</v>
      </c>
      <c r="G34" s="22">
        <v>2</v>
      </c>
      <c r="H34" s="22" t="s">
        <v>361</v>
      </c>
      <c r="I34" s="21">
        <v>45044</v>
      </c>
      <c r="J34" s="21">
        <v>45012</v>
      </c>
    </row>
    <row r="35" spans="1:10" x14ac:dyDescent="0.25">
      <c r="A35" s="22" t="s">
        <v>231</v>
      </c>
      <c r="B35" s="22">
        <v>32</v>
      </c>
      <c r="C35" s="22">
        <v>1</v>
      </c>
      <c r="D35" s="23">
        <v>5200</v>
      </c>
      <c r="E35" s="22">
        <v>4</v>
      </c>
      <c r="F35" s="22">
        <v>4</v>
      </c>
      <c r="G35" s="22">
        <v>3</v>
      </c>
      <c r="H35" s="22" t="s">
        <v>360</v>
      </c>
      <c r="I35" s="21">
        <v>45044</v>
      </c>
      <c r="J35" s="21">
        <v>45013</v>
      </c>
    </row>
    <row r="36" spans="1:10" x14ac:dyDescent="0.25">
      <c r="A36" s="22" t="s">
        <v>237</v>
      </c>
      <c r="B36" s="22">
        <v>30</v>
      </c>
      <c r="C36" s="22">
        <v>1</v>
      </c>
      <c r="D36" s="23">
        <v>1300</v>
      </c>
      <c r="E36" s="22">
        <v>4</v>
      </c>
      <c r="F36" s="22">
        <v>4</v>
      </c>
      <c r="G36" s="22">
        <v>2</v>
      </c>
      <c r="H36" s="22" t="s">
        <v>361</v>
      </c>
      <c r="I36" s="21">
        <v>45044</v>
      </c>
      <c r="J36" s="21">
        <v>45015</v>
      </c>
    </row>
    <row r="37" spans="1:10" x14ac:dyDescent="0.25">
      <c r="A37" s="22" t="s">
        <v>243</v>
      </c>
      <c r="B37" s="22">
        <v>28</v>
      </c>
      <c r="C37" s="22">
        <v>1</v>
      </c>
      <c r="D37" s="23">
        <v>58000</v>
      </c>
      <c r="E37" s="22">
        <v>4</v>
      </c>
      <c r="F37" s="22">
        <v>4</v>
      </c>
      <c r="G37" s="22">
        <v>4</v>
      </c>
      <c r="H37" s="22" t="s">
        <v>362</v>
      </c>
      <c r="I37" s="21">
        <v>45044</v>
      </c>
      <c r="J37" s="21">
        <v>45017</v>
      </c>
    </row>
    <row r="38" spans="1:10" x14ac:dyDescent="0.25">
      <c r="A38" s="22" t="s">
        <v>247</v>
      </c>
      <c r="B38" s="22">
        <v>27</v>
      </c>
      <c r="C38" s="22">
        <v>1</v>
      </c>
      <c r="D38" s="23">
        <v>14000</v>
      </c>
      <c r="E38" s="22">
        <v>4</v>
      </c>
      <c r="F38" s="22">
        <v>4</v>
      </c>
      <c r="G38" s="22">
        <v>3</v>
      </c>
      <c r="H38" s="22" t="s">
        <v>360</v>
      </c>
      <c r="I38" s="21">
        <v>45044</v>
      </c>
      <c r="J38" s="21">
        <v>45018</v>
      </c>
    </row>
    <row r="39" spans="1:10" x14ac:dyDescent="0.25">
      <c r="A39" s="22" t="s">
        <v>252</v>
      </c>
      <c r="B39" s="22">
        <v>25</v>
      </c>
      <c r="C39" s="22">
        <v>1</v>
      </c>
      <c r="D39" s="23">
        <v>65000</v>
      </c>
      <c r="E39" s="22">
        <v>4</v>
      </c>
      <c r="F39" s="22">
        <v>4</v>
      </c>
      <c r="G39" s="22">
        <v>5</v>
      </c>
      <c r="H39" s="22" t="s">
        <v>362</v>
      </c>
      <c r="I39" s="21">
        <v>45044</v>
      </c>
      <c r="J39" s="21">
        <v>45020</v>
      </c>
    </row>
    <row r="40" spans="1:10" x14ac:dyDescent="0.25">
      <c r="A40" s="22" t="s">
        <v>258</v>
      </c>
      <c r="B40" s="22">
        <v>23</v>
      </c>
      <c r="C40" s="22">
        <v>1</v>
      </c>
      <c r="D40" s="22">
        <v>310</v>
      </c>
      <c r="E40" s="22">
        <v>4</v>
      </c>
      <c r="F40" s="22">
        <v>4</v>
      </c>
      <c r="G40" s="22">
        <v>1</v>
      </c>
      <c r="H40" s="22" t="s">
        <v>361</v>
      </c>
      <c r="I40" s="21">
        <v>45044</v>
      </c>
      <c r="J40" s="21">
        <v>45022</v>
      </c>
    </row>
    <row r="41" spans="1:10" x14ac:dyDescent="0.25">
      <c r="A41" s="22" t="s">
        <v>264</v>
      </c>
      <c r="B41" s="22">
        <v>20</v>
      </c>
      <c r="C41" s="22">
        <v>1</v>
      </c>
      <c r="D41" s="23">
        <v>2800</v>
      </c>
      <c r="E41" s="22">
        <v>4</v>
      </c>
      <c r="F41" s="22">
        <v>4</v>
      </c>
      <c r="G41" s="22">
        <v>2</v>
      </c>
      <c r="H41" s="22" t="s">
        <v>361</v>
      </c>
      <c r="I41" s="21">
        <v>45044</v>
      </c>
      <c r="J41" s="21">
        <v>45025</v>
      </c>
    </row>
    <row r="42" spans="1:10" x14ac:dyDescent="0.25">
      <c r="A42" s="22" t="s">
        <v>269</v>
      </c>
      <c r="B42" s="22">
        <v>18</v>
      </c>
      <c r="C42" s="22">
        <v>1</v>
      </c>
      <c r="D42" s="23">
        <v>3500</v>
      </c>
      <c r="E42" s="22">
        <v>4</v>
      </c>
      <c r="F42" s="22">
        <v>4</v>
      </c>
      <c r="G42" s="22">
        <v>2</v>
      </c>
      <c r="H42" s="22" t="s">
        <v>361</v>
      </c>
      <c r="I42" s="21">
        <v>45044</v>
      </c>
      <c r="J42" s="21">
        <v>45027</v>
      </c>
    </row>
    <row r="43" spans="1:10" x14ac:dyDescent="0.25">
      <c r="A43" s="22" t="s">
        <v>274</v>
      </c>
      <c r="B43" s="22">
        <v>15</v>
      </c>
      <c r="C43" s="22">
        <v>1</v>
      </c>
      <c r="D43" s="23">
        <v>2900</v>
      </c>
      <c r="E43" s="22">
        <v>4</v>
      </c>
      <c r="F43" s="22">
        <v>4</v>
      </c>
      <c r="G43" s="22">
        <v>2</v>
      </c>
      <c r="H43" s="22" t="s">
        <v>361</v>
      </c>
      <c r="I43" s="21">
        <v>45044</v>
      </c>
      <c r="J43" s="21">
        <v>45030</v>
      </c>
    </row>
    <row r="44" spans="1:10" x14ac:dyDescent="0.25">
      <c r="A44" s="22" t="s">
        <v>279</v>
      </c>
      <c r="B44" s="22">
        <v>14</v>
      </c>
      <c r="C44" s="22">
        <v>1</v>
      </c>
      <c r="D44" s="23">
        <v>120000</v>
      </c>
      <c r="E44" s="22">
        <v>5</v>
      </c>
      <c r="F44" s="22">
        <v>5</v>
      </c>
      <c r="G44" s="22">
        <v>5</v>
      </c>
      <c r="H44" s="22" t="s">
        <v>362</v>
      </c>
      <c r="I44" s="21">
        <v>45044</v>
      </c>
      <c r="J44" s="21">
        <v>45031</v>
      </c>
    </row>
    <row r="45" spans="1:10" x14ac:dyDescent="0.25">
      <c r="A45" s="22" t="s">
        <v>285</v>
      </c>
      <c r="B45" s="22">
        <v>12</v>
      </c>
      <c r="C45" s="22">
        <v>1</v>
      </c>
      <c r="D45" s="22">
        <v>600</v>
      </c>
      <c r="E45" s="22">
        <v>5</v>
      </c>
      <c r="F45" s="22">
        <v>5</v>
      </c>
      <c r="G45" s="22">
        <v>1</v>
      </c>
      <c r="H45" s="22" t="s">
        <v>361</v>
      </c>
      <c r="I45" s="21">
        <v>45044</v>
      </c>
      <c r="J45" s="21">
        <v>45033</v>
      </c>
    </row>
    <row r="46" spans="1:10" x14ac:dyDescent="0.25">
      <c r="A46" s="22" t="s">
        <v>291</v>
      </c>
      <c r="B46" s="22">
        <v>11</v>
      </c>
      <c r="C46" s="22">
        <v>1</v>
      </c>
      <c r="D46" s="23">
        <v>19000</v>
      </c>
      <c r="E46" s="22">
        <v>5</v>
      </c>
      <c r="F46" s="22">
        <v>5</v>
      </c>
      <c r="G46" s="22">
        <v>3</v>
      </c>
      <c r="H46" s="22" t="s">
        <v>360</v>
      </c>
      <c r="I46" s="21">
        <v>45044</v>
      </c>
      <c r="J46" s="21">
        <v>45034</v>
      </c>
    </row>
    <row r="47" spans="1:10" x14ac:dyDescent="0.25">
      <c r="A47" s="22" t="s">
        <v>296</v>
      </c>
      <c r="B47" s="22">
        <v>8</v>
      </c>
      <c r="C47" s="22">
        <v>1</v>
      </c>
      <c r="D47" s="23">
        <v>30000</v>
      </c>
      <c r="E47" s="22">
        <v>5</v>
      </c>
      <c r="F47" s="22">
        <v>5</v>
      </c>
      <c r="G47" s="22">
        <v>4</v>
      </c>
      <c r="H47" s="22" t="s">
        <v>362</v>
      </c>
      <c r="I47" s="21">
        <v>45044</v>
      </c>
      <c r="J47" s="21">
        <v>45037</v>
      </c>
    </row>
    <row r="48" spans="1:10" x14ac:dyDescent="0.25">
      <c r="A48" s="22" t="s">
        <v>301</v>
      </c>
      <c r="B48" s="22">
        <v>7</v>
      </c>
      <c r="C48" s="22">
        <v>1</v>
      </c>
      <c r="D48" s="22">
        <v>250</v>
      </c>
      <c r="E48" s="22">
        <v>5</v>
      </c>
      <c r="F48" s="22">
        <v>5</v>
      </c>
      <c r="G48" s="22">
        <v>1</v>
      </c>
      <c r="H48" s="22" t="s">
        <v>361</v>
      </c>
      <c r="I48" s="21">
        <v>45044</v>
      </c>
      <c r="J48" s="21">
        <v>45038</v>
      </c>
    </row>
    <row r="49" spans="1:10" x14ac:dyDescent="0.25">
      <c r="A49" s="22" t="s">
        <v>307</v>
      </c>
      <c r="B49" s="22">
        <v>5</v>
      </c>
      <c r="C49" s="22">
        <v>1</v>
      </c>
      <c r="D49" s="23">
        <v>3500</v>
      </c>
      <c r="E49" s="22">
        <v>5</v>
      </c>
      <c r="F49" s="22">
        <v>5</v>
      </c>
      <c r="G49" s="22">
        <v>2</v>
      </c>
      <c r="H49" s="22" t="s">
        <v>361</v>
      </c>
      <c r="I49" s="21">
        <v>45044</v>
      </c>
      <c r="J49" s="21">
        <v>45040</v>
      </c>
    </row>
    <row r="50" spans="1:10" x14ac:dyDescent="0.25">
      <c r="A50" s="22" t="s">
        <v>313</v>
      </c>
      <c r="B50" s="22">
        <v>3</v>
      </c>
      <c r="C50" s="22">
        <v>1</v>
      </c>
      <c r="D50" s="23">
        <v>4800</v>
      </c>
      <c r="E50" s="22">
        <v>5</v>
      </c>
      <c r="F50" s="22">
        <v>5</v>
      </c>
      <c r="G50" s="22">
        <v>3</v>
      </c>
      <c r="H50" s="22" t="s">
        <v>360</v>
      </c>
      <c r="I50" s="21">
        <v>45044</v>
      </c>
      <c r="J50" s="21">
        <v>45042</v>
      </c>
    </row>
    <row r="51" spans="1:10" x14ac:dyDescent="0.25">
      <c r="A51" s="22" t="s">
        <v>319</v>
      </c>
      <c r="B51" s="22">
        <v>1</v>
      </c>
      <c r="C51" s="22">
        <v>1</v>
      </c>
      <c r="D51" s="23">
        <v>46000</v>
      </c>
      <c r="E51" s="22">
        <v>5</v>
      </c>
      <c r="F51" s="22">
        <v>5</v>
      </c>
      <c r="G51" s="22">
        <v>4</v>
      </c>
      <c r="H51" s="22" t="s">
        <v>362</v>
      </c>
      <c r="I51" s="21">
        <v>45044</v>
      </c>
      <c r="J51" s="21">
        <v>45044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</vt:lpstr>
      <vt:lpstr>Clean</vt:lpstr>
      <vt:lpstr>lookup</vt:lpstr>
      <vt:lpstr>Pivot</vt:lpstr>
      <vt:lpstr>Assumptions</vt:lpstr>
      <vt:lpstr>Insights</vt:lpstr>
      <vt:lpstr>RFM</vt:lpstr>
    </vt:vector>
  </TitlesOfParts>
  <Company>Grizli777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User</cp:lastModifiedBy>
  <dcterms:created xsi:type="dcterms:W3CDTF">2025-12-05T14:14:26Z</dcterms:created>
  <dcterms:modified xsi:type="dcterms:W3CDTF">2026-02-27T13:22:22Z</dcterms:modified>
</cp:coreProperties>
</file>